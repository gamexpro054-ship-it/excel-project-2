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ustomerSummary" sheetId="2" state="visible" r:id="rId2"/>
    <sheet xmlns:r="http://schemas.openxmlformats.org/officeDocument/2006/relationships" name="MonthlySales" sheetId="3" state="visible" r:id="rId3"/>
    <sheet xmlns:r="http://schemas.openxmlformats.org/officeDocument/2006/relationships" name="Pivot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Region/Product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'Pivot'!$A$2:$A$5</f>
            </numRef>
          </cat>
          <val>
            <numRef>
              <f>'Pivot'!$B$2:$B$5</f>
            </numRef>
          </val>
        </ser>
        <ser>
          <idx val="1"/>
          <order val="1"/>
          <tx>
            <strRef>
              <f>'Pivot'!C1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'Pivot'!$A$2:$A$5</f>
            </numRef>
          </cat>
          <val>
            <numRef>
              <f>'Pivot'!$C$2:$C$5</f>
            </numRef>
          </val>
        </ser>
        <ser>
          <idx val="2"/>
          <order val="2"/>
          <tx>
            <strRef>
              <f>'Pivot'!D1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'Pivot'!$A$2:$A$5</f>
            </numRef>
          </cat>
          <val>
            <numRef>
              <f>'Pivot'!$D$2:$D$5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'MonthlySales'!$A$2:$A$13</f>
            </numRef>
          </cat>
          <val>
            <numRef>
              <f>'MonthlySales'!$B$2:$B$13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Customers</a:t>
            </a:r>
          </a:p>
        </rich>
      </tx>
    </title>
    <plotArea>
      <pieChart>
        <varyColors val="1"/>
        <ser>
          <idx val="0"/>
          <order val="0"/>
          <tx>
            <strRef>
              <f>'CustomerSummary'!B1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'CustomerSummary'!$A$2:$A$6</f>
            </numRef>
          </cat>
          <val>
            <numRef>
              <f>'CustomerSummary'!$B$2:$B$6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Discount</t>
        </is>
      </c>
      <c r="G1" s="1" t="inlineStr">
        <is>
          <t>Timestamp</t>
        </is>
      </c>
    </row>
    <row r="2">
      <c r="A2" t="inlineStr">
        <is>
          <t>CUST11</t>
        </is>
      </c>
      <c r="B2" t="inlineStr">
        <is>
          <t>South</t>
        </is>
      </c>
      <c r="C2" t="inlineStr">
        <is>
          <t>Appliances</t>
        </is>
      </c>
      <c r="D2" t="n">
        <v>5487</v>
      </c>
      <c r="E2" t="n">
        <v>823</v>
      </c>
      <c r="F2" t="n">
        <v>0.05</v>
      </c>
      <c r="G2">
        <f>NOW()</f>
        <v/>
      </c>
    </row>
    <row r="3">
      <c r="A3" t="inlineStr">
        <is>
          <t>CUST24</t>
        </is>
      </c>
      <c r="B3" t="inlineStr">
        <is>
          <t>South</t>
        </is>
      </c>
      <c r="C3" t="inlineStr">
        <is>
          <t>Electronics</t>
        </is>
      </c>
      <c r="D3" t="n">
        <v>12724</v>
      </c>
      <c r="E3" t="n">
        <v>636</v>
      </c>
      <c r="F3" t="n">
        <v>0.15</v>
      </c>
      <c r="G3">
        <f>NOW()</f>
        <v/>
      </c>
    </row>
    <row r="4">
      <c r="A4" t="inlineStr">
        <is>
          <t>CUST30</t>
        </is>
      </c>
      <c r="B4" t="inlineStr">
        <is>
          <t>East</t>
        </is>
      </c>
      <c r="C4" t="inlineStr">
        <is>
          <t>Appliances</t>
        </is>
      </c>
      <c r="D4" t="n">
        <v>17330</v>
      </c>
      <c r="E4" t="n">
        <v>2599</v>
      </c>
      <c r="F4" t="n">
        <v>0.05</v>
      </c>
      <c r="G4">
        <f>NOW()</f>
        <v/>
      </c>
    </row>
    <row r="5">
      <c r="A5" t="inlineStr">
        <is>
          <t>CUST23</t>
        </is>
      </c>
      <c r="B5" t="inlineStr">
        <is>
          <t>West</t>
        </is>
      </c>
      <c r="C5" t="inlineStr">
        <is>
          <t>Electronics</t>
        </is>
      </c>
      <c r="D5" t="n">
        <v>1536</v>
      </c>
      <c r="E5" t="n">
        <v>230</v>
      </c>
      <c r="F5" t="n">
        <v>0.05</v>
      </c>
      <c r="G5">
        <f>NOW()</f>
        <v/>
      </c>
    </row>
    <row r="6">
      <c r="A6" t="inlineStr">
        <is>
          <t>CUST27</t>
        </is>
      </c>
      <c r="B6" t="inlineStr">
        <is>
          <t>South</t>
        </is>
      </c>
      <c r="C6" t="inlineStr">
        <is>
          <t>Furniture</t>
        </is>
      </c>
      <c r="D6" t="n">
        <v>17188</v>
      </c>
      <c r="E6" t="n">
        <v>859</v>
      </c>
      <c r="F6" t="n">
        <v>0.15</v>
      </c>
      <c r="G6">
        <f>NOW()</f>
        <v/>
      </c>
    </row>
    <row r="7">
      <c r="A7" t="inlineStr">
        <is>
          <t>CUST11</t>
        </is>
      </c>
      <c r="B7" t="inlineStr">
        <is>
          <t>South</t>
        </is>
      </c>
      <c r="C7" t="inlineStr">
        <is>
          <t>Furniture</t>
        </is>
      </c>
      <c r="D7" t="n">
        <v>4899</v>
      </c>
      <c r="E7" t="n">
        <v>489</v>
      </c>
      <c r="F7" t="n">
        <v>0.1</v>
      </c>
      <c r="G7">
        <f>NOW()</f>
        <v/>
      </c>
    </row>
    <row r="8">
      <c r="A8" t="inlineStr">
        <is>
          <t>CUST7</t>
        </is>
      </c>
      <c r="B8" t="inlineStr">
        <is>
          <t>West</t>
        </is>
      </c>
      <c r="C8" t="inlineStr">
        <is>
          <t>Furniture</t>
        </is>
      </c>
      <c r="D8" t="n">
        <v>8368</v>
      </c>
      <c r="E8" t="n">
        <v>418</v>
      </c>
      <c r="F8" t="n">
        <v>0.15</v>
      </c>
      <c r="G8">
        <f>NOW()</f>
        <v/>
      </c>
    </row>
    <row r="9">
      <c r="A9" t="inlineStr">
        <is>
          <t>CUST22</t>
        </is>
      </c>
      <c r="B9" t="inlineStr">
        <is>
          <t>West</t>
        </is>
      </c>
      <c r="C9" t="inlineStr">
        <is>
          <t>Appliances</t>
        </is>
      </c>
      <c r="D9" t="n">
        <v>17033</v>
      </c>
      <c r="E9" t="n">
        <v>851</v>
      </c>
      <c r="F9" t="n">
        <v>0.15</v>
      </c>
      <c r="G9">
        <f>NOW()</f>
        <v/>
      </c>
    </row>
    <row r="10">
      <c r="A10" t="inlineStr">
        <is>
          <t>CUST13</t>
        </is>
      </c>
      <c r="B10" t="inlineStr">
        <is>
          <t>North</t>
        </is>
      </c>
      <c r="C10" t="inlineStr">
        <is>
          <t>Appliances</t>
        </is>
      </c>
      <c r="D10" t="n">
        <v>3569</v>
      </c>
      <c r="E10" t="n">
        <v>535</v>
      </c>
      <c r="F10" t="n">
        <v>0.05</v>
      </c>
      <c r="G10">
        <f>NOW()</f>
        <v/>
      </c>
    </row>
    <row r="11">
      <c r="A11" t="inlineStr">
        <is>
          <t>CUST27</t>
        </is>
      </c>
      <c r="B11" t="inlineStr">
        <is>
          <t>South</t>
        </is>
      </c>
      <c r="C11" t="inlineStr">
        <is>
          <t>Furniture</t>
        </is>
      </c>
      <c r="D11" t="n">
        <v>14614</v>
      </c>
      <c r="E11" t="n">
        <v>730</v>
      </c>
      <c r="F11" t="n">
        <v>0.15</v>
      </c>
      <c r="G11">
        <f>NOW()</f>
        <v/>
      </c>
    </row>
    <row r="12">
      <c r="A12" t="inlineStr">
        <is>
          <t>CUST6</t>
        </is>
      </c>
      <c r="B12" t="inlineStr">
        <is>
          <t>South</t>
        </is>
      </c>
      <c r="C12" t="inlineStr">
        <is>
          <t>Furniture</t>
        </is>
      </c>
      <c r="D12" t="n">
        <v>13569</v>
      </c>
      <c r="E12" t="n">
        <v>1356</v>
      </c>
      <c r="F12" t="n">
        <v>0.1</v>
      </c>
      <c r="G12">
        <f>NOW()</f>
        <v/>
      </c>
    </row>
    <row r="13">
      <c r="A13" t="inlineStr">
        <is>
          <t>CUST18</t>
        </is>
      </c>
      <c r="B13" t="inlineStr">
        <is>
          <t>East</t>
        </is>
      </c>
      <c r="C13" t="inlineStr">
        <is>
          <t>Furniture</t>
        </is>
      </c>
      <c r="D13" t="n">
        <v>12673</v>
      </c>
      <c r="E13" t="n">
        <v>1900</v>
      </c>
      <c r="F13" t="n">
        <v>0.05</v>
      </c>
      <c r="G13">
        <f>NOW()</f>
        <v/>
      </c>
    </row>
    <row r="14">
      <c r="A14" t="inlineStr">
        <is>
          <t>CUST3</t>
        </is>
      </c>
      <c r="B14" t="inlineStr">
        <is>
          <t>West</t>
        </is>
      </c>
      <c r="C14" t="inlineStr">
        <is>
          <t>Furniture</t>
        </is>
      </c>
      <c r="D14" t="n">
        <v>8070</v>
      </c>
      <c r="E14" t="n">
        <v>807</v>
      </c>
      <c r="F14" t="n">
        <v>0.1</v>
      </c>
      <c r="G14">
        <f>NOW()</f>
        <v/>
      </c>
    </row>
    <row r="15">
      <c r="A15" t="inlineStr">
        <is>
          <t>CUST21</t>
        </is>
      </c>
      <c r="B15" t="inlineStr">
        <is>
          <t>South</t>
        </is>
      </c>
      <c r="C15" t="inlineStr">
        <is>
          <t>Electronics</t>
        </is>
      </c>
      <c r="D15" t="n">
        <v>18994</v>
      </c>
      <c r="E15" t="n">
        <v>2849</v>
      </c>
      <c r="F15" t="n">
        <v>0.05</v>
      </c>
      <c r="G15">
        <f>NOW()</f>
        <v/>
      </c>
    </row>
    <row r="16">
      <c r="A16" t="inlineStr">
        <is>
          <t>CUST3</t>
        </is>
      </c>
      <c r="B16" t="inlineStr">
        <is>
          <t>West</t>
        </is>
      </c>
      <c r="C16" t="inlineStr">
        <is>
          <t>Electronics</t>
        </is>
      </c>
      <c r="D16" t="n">
        <v>8858</v>
      </c>
      <c r="E16" t="n">
        <v>442</v>
      </c>
      <c r="F16" t="n">
        <v>0.15</v>
      </c>
      <c r="G16">
        <f>NOW()</f>
        <v/>
      </c>
    </row>
    <row r="17">
      <c r="A17" t="inlineStr">
        <is>
          <t>CUST30</t>
        </is>
      </c>
      <c r="B17" t="inlineStr">
        <is>
          <t>South</t>
        </is>
      </c>
      <c r="C17" t="inlineStr">
        <is>
          <t>Electronics</t>
        </is>
      </c>
      <c r="D17" t="n">
        <v>17890</v>
      </c>
      <c r="E17" t="n">
        <v>1789</v>
      </c>
      <c r="F17" t="n">
        <v>0.1</v>
      </c>
      <c r="G17">
        <f>NOW()</f>
        <v/>
      </c>
    </row>
    <row r="18">
      <c r="A18" t="inlineStr">
        <is>
          <t>CUST22</t>
        </is>
      </c>
      <c r="B18" t="inlineStr">
        <is>
          <t>West</t>
        </is>
      </c>
      <c r="C18" t="inlineStr">
        <is>
          <t>Furniture</t>
        </is>
      </c>
      <c r="D18" t="n">
        <v>11098</v>
      </c>
      <c r="E18" t="n">
        <v>1109</v>
      </c>
      <c r="F18" t="n">
        <v>0.1</v>
      </c>
      <c r="G18">
        <f>NOW()</f>
        <v/>
      </c>
    </row>
    <row r="19">
      <c r="A19" t="inlineStr">
        <is>
          <t>CUST12</t>
        </is>
      </c>
      <c r="B19" t="inlineStr">
        <is>
          <t>South</t>
        </is>
      </c>
      <c r="C19" t="inlineStr">
        <is>
          <t>Electronics</t>
        </is>
      </c>
      <c r="D19" t="n">
        <v>15123</v>
      </c>
      <c r="E19" t="n">
        <v>2268</v>
      </c>
      <c r="F19" t="n">
        <v>0.05</v>
      </c>
      <c r="G19">
        <f>NOW()</f>
        <v/>
      </c>
    </row>
    <row r="20">
      <c r="A20" t="inlineStr">
        <is>
          <t>CUST16</t>
        </is>
      </c>
      <c r="B20" t="inlineStr">
        <is>
          <t>East</t>
        </is>
      </c>
      <c r="C20" t="inlineStr">
        <is>
          <t>Electronics</t>
        </is>
      </c>
      <c r="D20" t="n">
        <v>19923</v>
      </c>
      <c r="E20" t="n">
        <v>1992</v>
      </c>
      <c r="F20" t="n">
        <v>0.1</v>
      </c>
      <c r="G20">
        <f>NOW()</f>
        <v/>
      </c>
    </row>
    <row r="21">
      <c r="A21" t="inlineStr">
        <is>
          <t>CUST12</t>
        </is>
      </c>
      <c r="B21" t="inlineStr">
        <is>
          <t>East</t>
        </is>
      </c>
      <c r="C21" t="inlineStr">
        <is>
          <t>Furniture</t>
        </is>
      </c>
      <c r="D21" t="n">
        <v>18327</v>
      </c>
      <c r="E21" t="n">
        <v>1832</v>
      </c>
      <c r="F21" t="n">
        <v>0.1</v>
      </c>
      <c r="G21">
        <f>NOW()</f>
        <v/>
      </c>
    </row>
    <row r="22">
      <c r="A22" t="inlineStr">
        <is>
          <t>CUST13</t>
        </is>
      </c>
      <c r="B22" t="inlineStr">
        <is>
          <t>South</t>
        </is>
      </c>
      <c r="C22" t="inlineStr">
        <is>
          <t>Furniture</t>
        </is>
      </c>
      <c r="D22" t="n">
        <v>18203</v>
      </c>
      <c r="E22" t="n">
        <v>2730</v>
      </c>
      <c r="F22" t="n">
        <v>0.05</v>
      </c>
      <c r="G22">
        <f>NOW()</f>
        <v/>
      </c>
    </row>
    <row r="23">
      <c r="A23" t="inlineStr">
        <is>
          <t>CUST19</t>
        </is>
      </c>
      <c r="B23" t="inlineStr">
        <is>
          <t>East</t>
        </is>
      </c>
      <c r="C23" t="inlineStr">
        <is>
          <t>Furniture</t>
        </is>
      </c>
      <c r="D23" t="n">
        <v>18688</v>
      </c>
      <c r="E23" t="n">
        <v>1868</v>
      </c>
      <c r="F23" t="n">
        <v>0.1</v>
      </c>
      <c r="G23">
        <f>NOW()</f>
        <v/>
      </c>
    </row>
    <row r="24">
      <c r="A24" t="inlineStr">
        <is>
          <t>CUST14</t>
        </is>
      </c>
      <c r="B24" t="inlineStr">
        <is>
          <t>West</t>
        </is>
      </c>
      <c r="C24" t="inlineStr">
        <is>
          <t>Electronics</t>
        </is>
      </c>
      <c r="D24" t="n">
        <v>11206</v>
      </c>
      <c r="E24" t="n">
        <v>1120</v>
      </c>
      <c r="F24" t="n">
        <v>0.1</v>
      </c>
      <c r="G24">
        <f>NOW()</f>
        <v/>
      </c>
    </row>
    <row r="25">
      <c r="A25" t="inlineStr">
        <is>
          <t>CUST8</t>
        </is>
      </c>
      <c r="B25" t="inlineStr">
        <is>
          <t>South</t>
        </is>
      </c>
      <c r="C25" t="inlineStr">
        <is>
          <t>Appliances</t>
        </is>
      </c>
      <c r="D25" t="n">
        <v>5505</v>
      </c>
      <c r="E25" t="n">
        <v>550</v>
      </c>
      <c r="F25" t="n">
        <v>0.1</v>
      </c>
      <c r="G25">
        <f>NOW()</f>
        <v/>
      </c>
    </row>
    <row r="26">
      <c r="A26" t="inlineStr">
        <is>
          <t>CUST19</t>
        </is>
      </c>
      <c r="B26" t="inlineStr">
        <is>
          <t>East</t>
        </is>
      </c>
      <c r="C26" t="inlineStr">
        <is>
          <t>Appliances</t>
        </is>
      </c>
      <c r="D26" t="n">
        <v>12738</v>
      </c>
      <c r="E26" t="n">
        <v>1273</v>
      </c>
      <c r="F26" t="n">
        <v>0.1</v>
      </c>
      <c r="G26">
        <f>NOW()</f>
        <v/>
      </c>
    </row>
    <row r="27">
      <c r="A27" t="inlineStr">
        <is>
          <t>CUST20</t>
        </is>
      </c>
      <c r="B27" t="inlineStr">
        <is>
          <t>West</t>
        </is>
      </c>
      <c r="C27" t="inlineStr">
        <is>
          <t>Furniture</t>
        </is>
      </c>
      <c r="D27" t="n">
        <v>9740</v>
      </c>
      <c r="E27" t="n">
        <v>487</v>
      </c>
      <c r="F27" t="n">
        <v>0.15</v>
      </c>
      <c r="G27">
        <f>NOW()</f>
        <v/>
      </c>
    </row>
    <row r="28">
      <c r="A28" t="inlineStr">
        <is>
          <t>CUST11</t>
        </is>
      </c>
      <c r="B28" t="inlineStr">
        <is>
          <t>North</t>
        </is>
      </c>
      <c r="C28" t="inlineStr">
        <is>
          <t>Electronics</t>
        </is>
      </c>
      <c r="D28" t="n">
        <v>2451</v>
      </c>
      <c r="E28" t="n">
        <v>122</v>
      </c>
      <c r="F28" t="n">
        <v>0.15</v>
      </c>
      <c r="G28">
        <f>NOW()</f>
        <v/>
      </c>
    </row>
    <row r="29">
      <c r="A29" t="inlineStr">
        <is>
          <t>CUST22</t>
        </is>
      </c>
      <c r="B29" t="inlineStr">
        <is>
          <t>East</t>
        </is>
      </c>
      <c r="C29" t="inlineStr">
        <is>
          <t>Appliances</t>
        </is>
      </c>
      <c r="D29" t="n">
        <v>7361</v>
      </c>
      <c r="E29" t="n">
        <v>736</v>
      </c>
      <c r="F29" t="n">
        <v>0.1</v>
      </c>
      <c r="G29">
        <f>NOW()</f>
        <v/>
      </c>
    </row>
    <row r="30">
      <c r="A30" t="inlineStr">
        <is>
          <t>CUST9</t>
        </is>
      </c>
      <c r="B30" t="inlineStr">
        <is>
          <t>East</t>
        </is>
      </c>
      <c r="C30" t="inlineStr">
        <is>
          <t>Appliances</t>
        </is>
      </c>
      <c r="D30" t="n">
        <v>19019</v>
      </c>
      <c r="E30" t="n">
        <v>950</v>
      </c>
      <c r="F30" t="n">
        <v>0.15</v>
      </c>
      <c r="G30">
        <f>NOW()</f>
        <v/>
      </c>
    </row>
    <row r="31">
      <c r="A31" t="inlineStr">
        <is>
          <t>CUST20</t>
        </is>
      </c>
      <c r="B31" t="inlineStr">
        <is>
          <t>North</t>
        </is>
      </c>
      <c r="C31" t="inlineStr">
        <is>
          <t>Furniture</t>
        </is>
      </c>
      <c r="D31" t="n">
        <v>11167</v>
      </c>
      <c r="E31" t="n">
        <v>1116</v>
      </c>
      <c r="F31" t="n">
        <v>0.1</v>
      </c>
      <c r="G31">
        <f>NOW()</f>
        <v/>
      </c>
    </row>
    <row r="32">
      <c r="A32" t="inlineStr">
        <is>
          <t>CUST16</t>
        </is>
      </c>
      <c r="B32" t="inlineStr">
        <is>
          <t>West</t>
        </is>
      </c>
      <c r="C32" t="inlineStr">
        <is>
          <t>Electronics</t>
        </is>
      </c>
      <c r="D32" t="n">
        <v>4309</v>
      </c>
      <c r="E32" t="n">
        <v>430</v>
      </c>
      <c r="F32" t="n">
        <v>0.1</v>
      </c>
      <c r="G32">
        <f>NOW()</f>
        <v/>
      </c>
    </row>
    <row r="33">
      <c r="A33" t="inlineStr">
        <is>
          <t>CUST10</t>
        </is>
      </c>
      <c r="B33" t="inlineStr">
        <is>
          <t>East</t>
        </is>
      </c>
      <c r="C33" t="inlineStr">
        <is>
          <t>Furniture</t>
        </is>
      </c>
      <c r="D33" t="n">
        <v>3010</v>
      </c>
      <c r="E33" t="n">
        <v>150</v>
      </c>
      <c r="F33" t="n">
        <v>0.15</v>
      </c>
      <c r="G33">
        <f>NOW()</f>
        <v/>
      </c>
    </row>
    <row r="34">
      <c r="A34" t="inlineStr">
        <is>
          <t>CUST25</t>
        </is>
      </c>
      <c r="B34" t="inlineStr">
        <is>
          <t>North</t>
        </is>
      </c>
      <c r="C34" t="inlineStr">
        <is>
          <t>Electronics</t>
        </is>
      </c>
      <c r="D34" t="n">
        <v>10239</v>
      </c>
      <c r="E34" t="n">
        <v>1023</v>
      </c>
      <c r="F34" t="n">
        <v>0.1</v>
      </c>
      <c r="G34">
        <f>NOW()</f>
        <v/>
      </c>
    </row>
    <row r="35">
      <c r="A35" t="inlineStr">
        <is>
          <t>CUST20</t>
        </is>
      </c>
      <c r="B35" t="inlineStr">
        <is>
          <t>West</t>
        </is>
      </c>
      <c r="C35" t="inlineStr">
        <is>
          <t>Furniture</t>
        </is>
      </c>
      <c r="D35" t="n">
        <v>8880</v>
      </c>
      <c r="E35" t="n">
        <v>444</v>
      </c>
      <c r="F35" t="n">
        <v>0.15</v>
      </c>
      <c r="G35">
        <f>NOW()</f>
        <v/>
      </c>
    </row>
    <row r="36">
      <c r="A36" t="inlineStr">
        <is>
          <t>CUST27</t>
        </is>
      </c>
      <c r="B36" t="inlineStr">
        <is>
          <t>North</t>
        </is>
      </c>
      <c r="C36" t="inlineStr">
        <is>
          <t>Appliances</t>
        </is>
      </c>
      <c r="D36" t="n">
        <v>4480</v>
      </c>
      <c r="E36" t="n">
        <v>224</v>
      </c>
      <c r="F36" t="n">
        <v>0.15</v>
      </c>
      <c r="G36">
        <f>NOW()</f>
        <v/>
      </c>
    </row>
    <row r="37">
      <c r="A37" t="inlineStr">
        <is>
          <t>CUST20</t>
        </is>
      </c>
      <c r="B37" t="inlineStr">
        <is>
          <t>North</t>
        </is>
      </c>
      <c r="C37" t="inlineStr">
        <is>
          <t>Electronics</t>
        </is>
      </c>
      <c r="D37" t="n">
        <v>10820</v>
      </c>
      <c r="E37" t="n">
        <v>1082</v>
      </c>
      <c r="F37" t="n">
        <v>0.1</v>
      </c>
      <c r="G37">
        <f>NOW()</f>
        <v/>
      </c>
    </row>
    <row r="38">
      <c r="A38" t="inlineStr">
        <is>
          <t>CUST28</t>
        </is>
      </c>
      <c r="B38" t="inlineStr">
        <is>
          <t>West</t>
        </is>
      </c>
      <c r="C38" t="inlineStr">
        <is>
          <t>Electronics</t>
        </is>
      </c>
      <c r="D38" t="n">
        <v>10270</v>
      </c>
      <c r="E38" t="n">
        <v>513</v>
      </c>
      <c r="F38" t="n">
        <v>0.15</v>
      </c>
      <c r="G38">
        <f>NOW()</f>
        <v/>
      </c>
    </row>
    <row r="39">
      <c r="A39" t="inlineStr">
        <is>
          <t>CUST26</t>
        </is>
      </c>
      <c r="B39" t="inlineStr">
        <is>
          <t>East</t>
        </is>
      </c>
      <c r="C39" t="inlineStr">
        <is>
          <t>Furniture</t>
        </is>
      </c>
      <c r="D39" t="n">
        <v>11553</v>
      </c>
      <c r="E39" t="n">
        <v>1732</v>
      </c>
      <c r="F39" t="n">
        <v>0.05</v>
      </c>
      <c r="G39">
        <f>NOW()</f>
        <v/>
      </c>
    </row>
    <row r="40">
      <c r="A40" t="inlineStr">
        <is>
          <t>CUST28</t>
        </is>
      </c>
      <c r="B40" t="inlineStr">
        <is>
          <t>North</t>
        </is>
      </c>
      <c r="C40" t="inlineStr">
        <is>
          <t>Furniture</t>
        </is>
      </c>
      <c r="D40" t="n">
        <v>9716</v>
      </c>
      <c r="E40" t="n">
        <v>1457</v>
      </c>
      <c r="F40" t="n">
        <v>0.05</v>
      </c>
      <c r="G40">
        <f>NOW()</f>
        <v/>
      </c>
    </row>
    <row r="41">
      <c r="A41" t="inlineStr">
        <is>
          <t>CUST22</t>
        </is>
      </c>
      <c r="B41" t="inlineStr">
        <is>
          <t>East</t>
        </is>
      </c>
      <c r="C41" t="inlineStr">
        <is>
          <t>Electronics</t>
        </is>
      </c>
      <c r="D41" t="n">
        <v>14396</v>
      </c>
      <c r="E41" t="n">
        <v>719</v>
      </c>
      <c r="F41" t="n">
        <v>0.15</v>
      </c>
      <c r="G41">
        <f>NOW()</f>
        <v/>
      </c>
    </row>
    <row r="42">
      <c r="A42" t="inlineStr">
        <is>
          <t>CUST12</t>
        </is>
      </c>
      <c r="B42" t="inlineStr">
        <is>
          <t>North</t>
        </is>
      </c>
      <c r="C42" t="inlineStr">
        <is>
          <t>Electronics</t>
        </is>
      </c>
      <c r="D42" t="n">
        <v>7762</v>
      </c>
      <c r="E42" t="n">
        <v>1164</v>
      </c>
      <c r="F42" t="n">
        <v>0.05</v>
      </c>
      <c r="G42">
        <f>NOW()</f>
        <v/>
      </c>
    </row>
    <row r="43">
      <c r="A43" t="inlineStr">
        <is>
          <t>CUST25</t>
        </is>
      </c>
      <c r="B43" t="inlineStr">
        <is>
          <t>South</t>
        </is>
      </c>
      <c r="C43" t="inlineStr">
        <is>
          <t>Electronics</t>
        </is>
      </c>
      <c r="D43" t="n">
        <v>8298</v>
      </c>
      <c r="E43" t="n">
        <v>1244</v>
      </c>
      <c r="F43" t="n">
        <v>0.05</v>
      </c>
      <c r="G43">
        <f>NOW()</f>
        <v/>
      </c>
    </row>
    <row r="44">
      <c r="A44" t="inlineStr">
        <is>
          <t>CUST26</t>
        </is>
      </c>
      <c r="B44" t="inlineStr">
        <is>
          <t>West</t>
        </is>
      </c>
      <c r="C44" t="inlineStr">
        <is>
          <t>Furniture</t>
        </is>
      </c>
      <c r="D44" t="n">
        <v>11106</v>
      </c>
      <c r="E44" t="n">
        <v>555</v>
      </c>
      <c r="F44" t="n">
        <v>0.15</v>
      </c>
      <c r="G44">
        <f>NOW()</f>
        <v/>
      </c>
    </row>
    <row r="45">
      <c r="A45" t="inlineStr">
        <is>
          <t>CUST21</t>
        </is>
      </c>
      <c r="B45" t="inlineStr">
        <is>
          <t>East</t>
        </is>
      </c>
      <c r="C45" t="inlineStr">
        <is>
          <t>Appliances</t>
        </is>
      </c>
      <c r="D45" t="n">
        <v>13944</v>
      </c>
      <c r="E45" t="n">
        <v>2091</v>
      </c>
      <c r="F45" t="n">
        <v>0.05</v>
      </c>
      <c r="G45">
        <f>NOW()</f>
        <v/>
      </c>
    </row>
    <row r="46">
      <c r="A46" t="inlineStr">
        <is>
          <t>CUST7</t>
        </is>
      </c>
      <c r="B46" t="inlineStr">
        <is>
          <t>North</t>
        </is>
      </c>
      <c r="C46" t="inlineStr">
        <is>
          <t>Appliances</t>
        </is>
      </c>
      <c r="D46" t="n">
        <v>4546</v>
      </c>
      <c r="E46" t="n">
        <v>454</v>
      </c>
      <c r="F46" t="n">
        <v>0.1</v>
      </c>
      <c r="G46">
        <f>NOW()</f>
        <v/>
      </c>
    </row>
    <row r="47">
      <c r="A47" t="inlineStr">
        <is>
          <t>CUST11</t>
        </is>
      </c>
      <c r="B47" t="inlineStr">
        <is>
          <t>South</t>
        </is>
      </c>
      <c r="C47" t="inlineStr">
        <is>
          <t>Furniture</t>
        </is>
      </c>
      <c r="D47" t="n">
        <v>6624</v>
      </c>
      <c r="E47" t="n">
        <v>331</v>
      </c>
      <c r="F47" t="n">
        <v>0.15</v>
      </c>
      <c r="G47">
        <f>NOW()</f>
        <v/>
      </c>
    </row>
    <row r="48">
      <c r="A48" t="inlineStr">
        <is>
          <t>CUST3</t>
        </is>
      </c>
      <c r="B48" t="inlineStr">
        <is>
          <t>West</t>
        </is>
      </c>
      <c r="C48" t="inlineStr">
        <is>
          <t>Appliances</t>
        </is>
      </c>
      <c r="D48" t="n">
        <v>2361</v>
      </c>
      <c r="E48" t="n">
        <v>118</v>
      </c>
      <c r="F48" t="n">
        <v>0.15</v>
      </c>
      <c r="G48">
        <f>NOW()</f>
        <v/>
      </c>
    </row>
    <row r="49">
      <c r="A49" t="inlineStr">
        <is>
          <t>CUST7</t>
        </is>
      </c>
      <c r="B49" t="inlineStr">
        <is>
          <t>East</t>
        </is>
      </c>
      <c r="C49" t="inlineStr">
        <is>
          <t>Appliances</t>
        </is>
      </c>
      <c r="D49" t="n">
        <v>14765</v>
      </c>
      <c r="E49" t="n">
        <v>738</v>
      </c>
      <c r="F49" t="n">
        <v>0.15</v>
      </c>
      <c r="G49">
        <f>NOW()</f>
        <v/>
      </c>
    </row>
    <row r="50">
      <c r="A50" t="inlineStr">
        <is>
          <t>CUST5</t>
        </is>
      </c>
      <c r="B50" t="inlineStr">
        <is>
          <t>West</t>
        </is>
      </c>
      <c r="C50" t="inlineStr">
        <is>
          <t>Electronics</t>
        </is>
      </c>
      <c r="D50" t="n">
        <v>3078</v>
      </c>
      <c r="E50" t="n">
        <v>461</v>
      </c>
      <c r="F50" t="n">
        <v>0.05</v>
      </c>
      <c r="G50">
        <f>NOW()</f>
        <v/>
      </c>
    </row>
    <row r="51">
      <c r="A51" t="inlineStr">
        <is>
          <t>CUST1</t>
        </is>
      </c>
      <c r="B51" t="inlineStr">
        <is>
          <t>North</t>
        </is>
      </c>
      <c r="C51" t="inlineStr">
        <is>
          <t>Furniture</t>
        </is>
      </c>
      <c r="D51" t="n">
        <v>5087</v>
      </c>
      <c r="E51" t="n">
        <v>508</v>
      </c>
      <c r="F51" t="n">
        <v>0.1</v>
      </c>
      <c r="G51">
        <f>NOW()</f>
        <v/>
      </c>
    </row>
    <row r="52">
      <c r="A52" t="inlineStr">
        <is>
          <t>CUST1</t>
        </is>
      </c>
      <c r="B52" t="inlineStr">
        <is>
          <t>South</t>
        </is>
      </c>
      <c r="C52" t="inlineStr">
        <is>
          <t>Appliances</t>
        </is>
      </c>
      <c r="D52" t="n">
        <v>2359</v>
      </c>
      <c r="E52" t="n">
        <v>235</v>
      </c>
      <c r="F52" t="n">
        <v>0.1</v>
      </c>
      <c r="G52">
        <f>NOW()</f>
        <v/>
      </c>
    </row>
    <row r="53">
      <c r="A53" t="inlineStr">
        <is>
          <t>CUST28</t>
        </is>
      </c>
      <c r="B53" t="inlineStr">
        <is>
          <t>East</t>
        </is>
      </c>
      <c r="C53" t="inlineStr">
        <is>
          <t>Electronics</t>
        </is>
      </c>
      <c r="D53" t="n">
        <v>10088</v>
      </c>
      <c r="E53" t="n">
        <v>1008</v>
      </c>
      <c r="F53" t="n">
        <v>0.1</v>
      </c>
      <c r="G53">
        <f>NOW()</f>
        <v/>
      </c>
    </row>
    <row r="54">
      <c r="A54" t="inlineStr">
        <is>
          <t>CUST1</t>
        </is>
      </c>
      <c r="B54" t="inlineStr">
        <is>
          <t>South</t>
        </is>
      </c>
      <c r="C54" t="inlineStr">
        <is>
          <t>Electronics</t>
        </is>
      </c>
      <c r="D54" t="n">
        <v>4410</v>
      </c>
      <c r="E54" t="n">
        <v>441</v>
      </c>
      <c r="F54" t="n">
        <v>0.1</v>
      </c>
      <c r="G54">
        <f>NOW()</f>
        <v/>
      </c>
    </row>
    <row r="55">
      <c r="A55" t="inlineStr">
        <is>
          <t>CUST8</t>
        </is>
      </c>
      <c r="B55" t="inlineStr">
        <is>
          <t>East</t>
        </is>
      </c>
      <c r="C55" t="inlineStr">
        <is>
          <t>Furniture</t>
        </is>
      </c>
      <c r="D55" t="n">
        <v>2721</v>
      </c>
      <c r="E55" t="n">
        <v>408</v>
      </c>
      <c r="F55" t="n">
        <v>0.05</v>
      </c>
      <c r="G55">
        <f>NOW()</f>
        <v/>
      </c>
    </row>
    <row r="56">
      <c r="A56" t="inlineStr">
        <is>
          <t>CUST27</t>
        </is>
      </c>
      <c r="B56" t="inlineStr">
        <is>
          <t>East</t>
        </is>
      </c>
      <c r="C56" t="inlineStr">
        <is>
          <t>Electronics</t>
        </is>
      </c>
      <c r="D56" t="n">
        <v>19757</v>
      </c>
      <c r="E56" t="n">
        <v>2963</v>
      </c>
      <c r="F56" t="n">
        <v>0.05</v>
      </c>
      <c r="G56">
        <f>NOW()</f>
        <v/>
      </c>
    </row>
    <row r="57">
      <c r="A57" t="inlineStr">
        <is>
          <t>CUST17</t>
        </is>
      </c>
      <c r="B57" t="inlineStr">
        <is>
          <t>North</t>
        </is>
      </c>
      <c r="C57" t="inlineStr">
        <is>
          <t>Appliances</t>
        </is>
      </c>
      <c r="D57" t="n">
        <v>15086</v>
      </c>
      <c r="E57" t="n">
        <v>754</v>
      </c>
      <c r="F57" t="n">
        <v>0.15</v>
      </c>
      <c r="G57">
        <f>NOW()</f>
        <v/>
      </c>
    </row>
    <row r="58">
      <c r="A58" t="inlineStr">
        <is>
          <t>CUST9</t>
        </is>
      </c>
      <c r="B58" t="inlineStr">
        <is>
          <t>West</t>
        </is>
      </c>
      <c r="C58" t="inlineStr">
        <is>
          <t>Appliances</t>
        </is>
      </c>
      <c r="D58" t="n">
        <v>11864</v>
      </c>
      <c r="E58" t="n">
        <v>593</v>
      </c>
      <c r="F58" t="n">
        <v>0.15</v>
      </c>
      <c r="G58">
        <f>NOW()</f>
        <v/>
      </c>
    </row>
    <row r="59">
      <c r="A59" t="inlineStr">
        <is>
          <t>CUST18</t>
        </is>
      </c>
      <c r="B59" t="inlineStr">
        <is>
          <t>North</t>
        </is>
      </c>
      <c r="C59" t="inlineStr">
        <is>
          <t>Appliances</t>
        </is>
      </c>
      <c r="D59" t="n">
        <v>6800</v>
      </c>
      <c r="E59" t="n">
        <v>1020</v>
      </c>
      <c r="F59" t="n">
        <v>0.05</v>
      </c>
      <c r="G59">
        <f>NOW()</f>
        <v/>
      </c>
    </row>
    <row r="60">
      <c r="A60" t="inlineStr">
        <is>
          <t>CUST25</t>
        </is>
      </c>
      <c r="B60" t="inlineStr">
        <is>
          <t>East</t>
        </is>
      </c>
      <c r="C60" t="inlineStr">
        <is>
          <t>Furniture</t>
        </is>
      </c>
      <c r="D60" t="n">
        <v>12088</v>
      </c>
      <c r="E60" t="n">
        <v>1813</v>
      </c>
      <c r="F60" t="n">
        <v>0.05</v>
      </c>
      <c r="G60">
        <f>NOW()</f>
        <v/>
      </c>
    </row>
    <row r="61">
      <c r="A61" t="inlineStr">
        <is>
          <t>CUST28</t>
        </is>
      </c>
      <c r="B61" t="inlineStr">
        <is>
          <t>West</t>
        </is>
      </c>
      <c r="C61" t="inlineStr">
        <is>
          <t>Furniture</t>
        </is>
      </c>
      <c r="D61" t="n">
        <v>11179</v>
      </c>
      <c r="E61" t="n">
        <v>1117</v>
      </c>
      <c r="F61" t="n">
        <v>0.1</v>
      </c>
      <c r="G61">
        <f>NOW()</f>
        <v/>
      </c>
    </row>
    <row r="62">
      <c r="A62" t="inlineStr">
        <is>
          <t>CUST25</t>
        </is>
      </c>
      <c r="B62" t="inlineStr">
        <is>
          <t>East</t>
        </is>
      </c>
      <c r="C62" t="inlineStr">
        <is>
          <t>Appliances</t>
        </is>
      </c>
      <c r="D62" t="n">
        <v>19399</v>
      </c>
      <c r="E62" t="n">
        <v>2909</v>
      </c>
      <c r="F62" t="n">
        <v>0.05</v>
      </c>
      <c r="G62">
        <f>NOW()</f>
        <v/>
      </c>
    </row>
    <row r="63">
      <c r="A63" t="inlineStr">
        <is>
          <t>CUST29</t>
        </is>
      </c>
      <c r="B63" t="inlineStr">
        <is>
          <t>East</t>
        </is>
      </c>
      <c r="C63" t="inlineStr">
        <is>
          <t>Furniture</t>
        </is>
      </c>
      <c r="D63" t="n">
        <v>5857</v>
      </c>
      <c r="E63" t="n">
        <v>585</v>
      </c>
      <c r="F63" t="n">
        <v>0.1</v>
      </c>
      <c r="G63">
        <f>NOW()</f>
        <v/>
      </c>
    </row>
    <row r="64">
      <c r="A64" t="inlineStr">
        <is>
          <t>CUST1</t>
        </is>
      </c>
      <c r="B64" t="inlineStr">
        <is>
          <t>South</t>
        </is>
      </c>
      <c r="C64" t="inlineStr">
        <is>
          <t>Appliances</t>
        </is>
      </c>
      <c r="D64" t="n">
        <v>5538</v>
      </c>
      <c r="E64" t="n">
        <v>553</v>
      </c>
      <c r="F64" t="n">
        <v>0.1</v>
      </c>
      <c r="G64">
        <f>NOW()</f>
        <v/>
      </c>
    </row>
    <row r="65">
      <c r="A65" t="inlineStr">
        <is>
          <t>CUST29</t>
        </is>
      </c>
      <c r="B65" t="inlineStr">
        <is>
          <t>East</t>
        </is>
      </c>
      <c r="C65" t="inlineStr">
        <is>
          <t>Electronics</t>
        </is>
      </c>
      <c r="D65" t="n">
        <v>16839</v>
      </c>
      <c r="E65" t="n">
        <v>1683</v>
      </c>
      <c r="F65" t="n">
        <v>0.1</v>
      </c>
      <c r="G65">
        <f>NOW()</f>
        <v/>
      </c>
    </row>
    <row r="66">
      <c r="A66" t="inlineStr">
        <is>
          <t>CUST21</t>
        </is>
      </c>
      <c r="B66" t="inlineStr">
        <is>
          <t>South</t>
        </is>
      </c>
      <c r="C66" t="inlineStr">
        <is>
          <t>Furniture</t>
        </is>
      </c>
      <c r="D66" t="n">
        <v>15537</v>
      </c>
      <c r="E66" t="n">
        <v>2330</v>
      </c>
      <c r="F66" t="n">
        <v>0.05</v>
      </c>
      <c r="G66">
        <f>NOW()</f>
        <v/>
      </c>
    </row>
    <row r="67">
      <c r="A67" t="inlineStr">
        <is>
          <t>CUST20</t>
        </is>
      </c>
      <c r="B67" t="inlineStr">
        <is>
          <t>West</t>
        </is>
      </c>
      <c r="C67" t="inlineStr">
        <is>
          <t>Appliances</t>
        </is>
      </c>
      <c r="D67" t="n">
        <v>9512</v>
      </c>
      <c r="E67" t="n">
        <v>1426</v>
      </c>
      <c r="F67" t="n">
        <v>0.05</v>
      </c>
      <c r="G67">
        <f>NOW()</f>
        <v/>
      </c>
    </row>
    <row r="68">
      <c r="A68" t="inlineStr">
        <is>
          <t>CUST14</t>
        </is>
      </c>
      <c r="B68" t="inlineStr">
        <is>
          <t>East</t>
        </is>
      </c>
      <c r="C68" t="inlineStr">
        <is>
          <t>Electronics</t>
        </is>
      </c>
      <c r="D68" t="n">
        <v>10450</v>
      </c>
      <c r="E68" t="n">
        <v>1045</v>
      </c>
      <c r="F68" t="n">
        <v>0.1</v>
      </c>
      <c r="G68">
        <f>NOW()</f>
        <v/>
      </c>
    </row>
    <row r="69">
      <c r="A69" t="inlineStr">
        <is>
          <t>CUST8</t>
        </is>
      </c>
      <c r="B69" t="inlineStr">
        <is>
          <t>East</t>
        </is>
      </c>
      <c r="C69" t="inlineStr">
        <is>
          <t>Appliances</t>
        </is>
      </c>
      <c r="D69" t="n">
        <v>12231</v>
      </c>
      <c r="E69" t="n">
        <v>1223</v>
      </c>
      <c r="F69" t="n">
        <v>0.1</v>
      </c>
      <c r="G69">
        <f>NOW()</f>
        <v/>
      </c>
    </row>
    <row r="70">
      <c r="A70" t="inlineStr">
        <is>
          <t>CUST1</t>
        </is>
      </c>
      <c r="B70" t="inlineStr">
        <is>
          <t>East</t>
        </is>
      </c>
      <c r="C70" t="inlineStr">
        <is>
          <t>Appliances</t>
        </is>
      </c>
      <c r="D70" t="n">
        <v>2069</v>
      </c>
      <c r="E70" t="n">
        <v>206</v>
      </c>
      <c r="F70" t="n">
        <v>0.1</v>
      </c>
      <c r="G70">
        <f>NOW()</f>
        <v/>
      </c>
    </row>
    <row r="71">
      <c r="A71" t="inlineStr">
        <is>
          <t>CUST10</t>
        </is>
      </c>
      <c r="B71" t="inlineStr">
        <is>
          <t>South</t>
        </is>
      </c>
      <c r="C71" t="inlineStr">
        <is>
          <t>Appliances</t>
        </is>
      </c>
      <c r="D71" t="n">
        <v>13551</v>
      </c>
      <c r="E71" t="n">
        <v>2032</v>
      </c>
      <c r="F71" t="n">
        <v>0.05</v>
      </c>
      <c r="G71">
        <f>NOW()</f>
        <v/>
      </c>
    </row>
    <row r="72">
      <c r="A72" t="inlineStr">
        <is>
          <t>CUST29</t>
        </is>
      </c>
      <c r="B72" t="inlineStr">
        <is>
          <t>South</t>
        </is>
      </c>
      <c r="C72" t="inlineStr">
        <is>
          <t>Appliances</t>
        </is>
      </c>
      <c r="D72" t="n">
        <v>8610</v>
      </c>
      <c r="E72" t="n">
        <v>430</v>
      </c>
      <c r="F72" t="n">
        <v>0.15</v>
      </c>
      <c r="G72">
        <f>NOW()</f>
        <v/>
      </c>
    </row>
    <row r="73">
      <c r="A73" t="inlineStr">
        <is>
          <t>CUST12</t>
        </is>
      </c>
      <c r="B73" t="inlineStr">
        <is>
          <t>East</t>
        </is>
      </c>
      <c r="C73" t="inlineStr">
        <is>
          <t>Furniture</t>
        </is>
      </c>
      <c r="D73" t="n">
        <v>19195</v>
      </c>
      <c r="E73" t="n">
        <v>2879</v>
      </c>
      <c r="F73" t="n">
        <v>0.05</v>
      </c>
      <c r="G73">
        <f>NOW()</f>
        <v/>
      </c>
    </row>
    <row r="74">
      <c r="A74" t="inlineStr">
        <is>
          <t>CUST22</t>
        </is>
      </c>
      <c r="B74" t="inlineStr">
        <is>
          <t>North</t>
        </is>
      </c>
      <c r="C74" t="inlineStr">
        <is>
          <t>Furniture</t>
        </is>
      </c>
      <c r="D74" t="n">
        <v>3523</v>
      </c>
      <c r="E74" t="n">
        <v>528</v>
      </c>
      <c r="F74" t="n">
        <v>0.05</v>
      </c>
      <c r="G74">
        <f>NOW()</f>
        <v/>
      </c>
    </row>
    <row r="75">
      <c r="A75" t="inlineStr">
        <is>
          <t>CUST4</t>
        </is>
      </c>
      <c r="B75" t="inlineStr">
        <is>
          <t>East</t>
        </is>
      </c>
      <c r="C75" t="inlineStr">
        <is>
          <t>Furniture</t>
        </is>
      </c>
      <c r="D75" t="n">
        <v>2893</v>
      </c>
      <c r="E75" t="n">
        <v>144</v>
      </c>
      <c r="F75" t="n">
        <v>0.15</v>
      </c>
      <c r="G75">
        <f>NOW()</f>
        <v/>
      </c>
    </row>
    <row r="76">
      <c r="A76" t="inlineStr">
        <is>
          <t>CUST18</t>
        </is>
      </c>
      <c r="B76" t="inlineStr">
        <is>
          <t>East</t>
        </is>
      </c>
      <c r="C76" t="inlineStr">
        <is>
          <t>Electronics</t>
        </is>
      </c>
      <c r="D76" t="n">
        <v>8888</v>
      </c>
      <c r="E76" t="n">
        <v>444</v>
      </c>
      <c r="F76" t="n">
        <v>0.15</v>
      </c>
      <c r="G76">
        <f>NOW()</f>
        <v/>
      </c>
    </row>
    <row r="77">
      <c r="A77" t="inlineStr">
        <is>
          <t>CUST22</t>
        </is>
      </c>
      <c r="B77" t="inlineStr">
        <is>
          <t>West</t>
        </is>
      </c>
      <c r="C77" t="inlineStr">
        <is>
          <t>Furniture</t>
        </is>
      </c>
      <c r="D77" t="n">
        <v>17033</v>
      </c>
      <c r="E77" t="n">
        <v>851</v>
      </c>
      <c r="F77" t="n">
        <v>0.15</v>
      </c>
      <c r="G77">
        <f>NOW()</f>
        <v/>
      </c>
    </row>
    <row r="78">
      <c r="A78" t="inlineStr">
        <is>
          <t>CUST19</t>
        </is>
      </c>
      <c r="B78" t="inlineStr">
        <is>
          <t>South</t>
        </is>
      </c>
      <c r="C78" t="inlineStr">
        <is>
          <t>Electronics</t>
        </is>
      </c>
      <c r="D78" t="n">
        <v>13087</v>
      </c>
      <c r="E78" t="n">
        <v>1963</v>
      </c>
      <c r="F78" t="n">
        <v>0.05</v>
      </c>
      <c r="G78">
        <f>NOW()</f>
        <v/>
      </c>
    </row>
    <row r="79">
      <c r="A79" t="inlineStr">
        <is>
          <t>CUST10</t>
        </is>
      </c>
      <c r="B79" t="inlineStr">
        <is>
          <t>North</t>
        </is>
      </c>
      <c r="C79" t="inlineStr">
        <is>
          <t>Electronics</t>
        </is>
      </c>
      <c r="D79" t="n">
        <v>3051</v>
      </c>
      <c r="E79" t="n">
        <v>305</v>
      </c>
      <c r="F79" t="n">
        <v>0.1</v>
      </c>
      <c r="G79">
        <f>NOW()</f>
        <v/>
      </c>
    </row>
    <row r="80">
      <c r="A80" t="inlineStr">
        <is>
          <t>CUST10</t>
        </is>
      </c>
      <c r="B80" t="inlineStr">
        <is>
          <t>East</t>
        </is>
      </c>
      <c r="C80" t="inlineStr">
        <is>
          <t>Appliances</t>
        </is>
      </c>
      <c r="D80" t="n">
        <v>3232</v>
      </c>
      <c r="E80" t="n">
        <v>161</v>
      </c>
      <c r="F80" t="n">
        <v>0.15</v>
      </c>
      <c r="G80">
        <f>NOW()</f>
        <v/>
      </c>
    </row>
    <row r="81">
      <c r="A81" t="inlineStr">
        <is>
          <t>CUST28</t>
        </is>
      </c>
      <c r="B81" t="inlineStr">
        <is>
          <t>North</t>
        </is>
      </c>
      <c r="C81" t="inlineStr">
        <is>
          <t>Appliances</t>
        </is>
      </c>
      <c r="D81" t="n">
        <v>13464</v>
      </c>
      <c r="E81" t="n">
        <v>2019</v>
      </c>
      <c r="F81" t="n">
        <v>0.05</v>
      </c>
      <c r="G81">
        <f>NOW()</f>
        <v/>
      </c>
    </row>
    <row r="82">
      <c r="A82" t="inlineStr">
        <is>
          <t>CUST16</t>
        </is>
      </c>
      <c r="B82" t="inlineStr">
        <is>
          <t>South</t>
        </is>
      </c>
      <c r="C82" t="inlineStr">
        <is>
          <t>Appliances</t>
        </is>
      </c>
      <c r="D82" t="n">
        <v>3995</v>
      </c>
      <c r="E82" t="n">
        <v>599</v>
      </c>
      <c r="F82" t="n">
        <v>0.05</v>
      </c>
      <c r="G82">
        <f>NOW()</f>
        <v/>
      </c>
    </row>
    <row r="83">
      <c r="A83" t="inlineStr">
        <is>
          <t>CUST9</t>
        </is>
      </c>
      <c r="B83" t="inlineStr">
        <is>
          <t>South</t>
        </is>
      </c>
      <c r="C83" t="inlineStr">
        <is>
          <t>Furniture</t>
        </is>
      </c>
      <c r="D83" t="n">
        <v>10294</v>
      </c>
      <c r="E83" t="n">
        <v>1544</v>
      </c>
      <c r="F83" t="n">
        <v>0.05</v>
      </c>
      <c r="G83">
        <f>NOW()</f>
        <v/>
      </c>
    </row>
    <row r="84">
      <c r="A84" t="inlineStr">
        <is>
          <t>CUST28</t>
        </is>
      </c>
      <c r="B84" t="inlineStr">
        <is>
          <t>South</t>
        </is>
      </c>
      <c r="C84" t="inlineStr">
        <is>
          <t>Furniture</t>
        </is>
      </c>
      <c r="D84" t="n">
        <v>13041</v>
      </c>
      <c r="E84" t="n">
        <v>1956</v>
      </c>
      <c r="F84" t="n">
        <v>0.05</v>
      </c>
      <c r="G84">
        <f>NOW()</f>
        <v/>
      </c>
    </row>
    <row r="85">
      <c r="A85" t="inlineStr">
        <is>
          <t>CUST28</t>
        </is>
      </c>
      <c r="B85" t="inlineStr">
        <is>
          <t>West</t>
        </is>
      </c>
      <c r="C85" t="inlineStr">
        <is>
          <t>Electronics</t>
        </is>
      </c>
      <c r="D85" t="n">
        <v>3329</v>
      </c>
      <c r="E85" t="n">
        <v>332</v>
      </c>
      <c r="F85" t="n">
        <v>0.1</v>
      </c>
      <c r="G85">
        <f>NOW()</f>
        <v/>
      </c>
    </row>
    <row r="86">
      <c r="A86" t="inlineStr">
        <is>
          <t>CUST17</t>
        </is>
      </c>
      <c r="B86" t="inlineStr">
        <is>
          <t>West</t>
        </is>
      </c>
      <c r="C86" t="inlineStr">
        <is>
          <t>Furniture</t>
        </is>
      </c>
      <c r="D86" t="n">
        <v>14974</v>
      </c>
      <c r="E86" t="n">
        <v>748</v>
      </c>
      <c r="F86" t="n">
        <v>0.15</v>
      </c>
      <c r="G86">
        <f>NOW()</f>
        <v/>
      </c>
    </row>
    <row r="87">
      <c r="A87" t="inlineStr">
        <is>
          <t>CUST4</t>
        </is>
      </c>
      <c r="B87" t="inlineStr">
        <is>
          <t>North</t>
        </is>
      </c>
      <c r="C87" t="inlineStr">
        <is>
          <t>Appliances</t>
        </is>
      </c>
      <c r="D87" t="n">
        <v>16622</v>
      </c>
      <c r="E87" t="n">
        <v>2493</v>
      </c>
      <c r="F87" t="n">
        <v>0.05</v>
      </c>
      <c r="G87">
        <f>NOW()</f>
        <v/>
      </c>
    </row>
    <row r="88">
      <c r="A88" t="inlineStr">
        <is>
          <t>CUST23</t>
        </is>
      </c>
      <c r="B88" t="inlineStr">
        <is>
          <t>West</t>
        </is>
      </c>
      <c r="C88" t="inlineStr">
        <is>
          <t>Appliances</t>
        </is>
      </c>
      <c r="D88" t="n">
        <v>1621</v>
      </c>
      <c r="E88" t="n">
        <v>243</v>
      </c>
      <c r="F88" t="n">
        <v>0.05</v>
      </c>
      <c r="G88">
        <f>NOW()</f>
        <v/>
      </c>
    </row>
    <row r="89">
      <c r="A89" t="inlineStr">
        <is>
          <t>CUST27</t>
        </is>
      </c>
      <c r="B89" t="inlineStr">
        <is>
          <t>North</t>
        </is>
      </c>
      <c r="C89" t="inlineStr">
        <is>
          <t>Electronics</t>
        </is>
      </c>
      <c r="D89" t="n">
        <v>17074</v>
      </c>
      <c r="E89" t="n">
        <v>2561</v>
      </c>
      <c r="F89" t="n">
        <v>0.05</v>
      </c>
      <c r="G89">
        <f>NOW()</f>
        <v/>
      </c>
    </row>
    <row r="90">
      <c r="A90" t="inlineStr">
        <is>
          <t>CUST10</t>
        </is>
      </c>
      <c r="B90" t="inlineStr">
        <is>
          <t>East</t>
        </is>
      </c>
      <c r="C90" t="inlineStr">
        <is>
          <t>Furniture</t>
        </is>
      </c>
      <c r="D90" t="n">
        <v>12340</v>
      </c>
      <c r="E90" t="n">
        <v>617</v>
      </c>
      <c r="F90" t="n">
        <v>0.15</v>
      </c>
      <c r="G90">
        <f>NOW()</f>
        <v/>
      </c>
    </row>
    <row r="91">
      <c r="A91" t="inlineStr">
        <is>
          <t>CUST26</t>
        </is>
      </c>
      <c r="B91" t="inlineStr">
        <is>
          <t>East</t>
        </is>
      </c>
      <c r="C91" t="inlineStr">
        <is>
          <t>Furniture</t>
        </is>
      </c>
      <c r="D91" t="n">
        <v>15269</v>
      </c>
      <c r="E91" t="n">
        <v>2290</v>
      </c>
      <c r="F91" t="n">
        <v>0.05</v>
      </c>
      <c r="G91">
        <f>NOW()</f>
        <v/>
      </c>
    </row>
    <row r="92">
      <c r="A92" t="inlineStr">
        <is>
          <t>CUST22</t>
        </is>
      </c>
      <c r="B92" t="inlineStr">
        <is>
          <t>South</t>
        </is>
      </c>
      <c r="C92" t="inlineStr">
        <is>
          <t>Appliances</t>
        </is>
      </c>
      <c r="D92" t="n">
        <v>6597</v>
      </c>
      <c r="E92" t="n">
        <v>329</v>
      </c>
      <c r="F92" t="n">
        <v>0.15</v>
      </c>
      <c r="G92">
        <f>NOW()</f>
        <v/>
      </c>
    </row>
    <row r="93">
      <c r="A93" t="inlineStr">
        <is>
          <t>CUST16</t>
        </is>
      </c>
      <c r="B93" t="inlineStr">
        <is>
          <t>West</t>
        </is>
      </c>
      <c r="C93" t="inlineStr">
        <is>
          <t>Furniture</t>
        </is>
      </c>
      <c r="D93" t="n">
        <v>7165</v>
      </c>
      <c r="E93" t="n">
        <v>716</v>
      </c>
      <c r="F93" t="n">
        <v>0.1</v>
      </c>
      <c r="G93">
        <f>NOW()</f>
        <v/>
      </c>
    </row>
    <row r="94">
      <c r="A94" t="inlineStr">
        <is>
          <t>CUST8</t>
        </is>
      </c>
      <c r="B94" t="inlineStr">
        <is>
          <t>West</t>
        </is>
      </c>
      <c r="C94" t="inlineStr">
        <is>
          <t>Appliances</t>
        </is>
      </c>
      <c r="D94" t="n">
        <v>13540</v>
      </c>
      <c r="E94" t="n">
        <v>2031</v>
      </c>
      <c r="F94" t="n">
        <v>0.05</v>
      </c>
      <c r="G94">
        <f>NOW()</f>
        <v/>
      </c>
    </row>
    <row r="95">
      <c r="A95" t="inlineStr">
        <is>
          <t>CUST1</t>
        </is>
      </c>
      <c r="B95" t="inlineStr">
        <is>
          <t>East</t>
        </is>
      </c>
      <c r="C95" t="inlineStr">
        <is>
          <t>Appliances</t>
        </is>
      </c>
      <c r="D95" t="n">
        <v>8718</v>
      </c>
      <c r="E95" t="n">
        <v>1307</v>
      </c>
      <c r="F95" t="n">
        <v>0.05</v>
      </c>
      <c r="G95">
        <f>NOW()</f>
        <v/>
      </c>
    </row>
    <row r="96">
      <c r="A96" t="inlineStr">
        <is>
          <t>CUST7</t>
        </is>
      </c>
      <c r="B96" t="inlineStr">
        <is>
          <t>South</t>
        </is>
      </c>
      <c r="C96" t="inlineStr">
        <is>
          <t>Furniture</t>
        </is>
      </c>
      <c r="D96" t="n">
        <v>8133</v>
      </c>
      <c r="E96" t="n">
        <v>406</v>
      </c>
      <c r="F96" t="n">
        <v>0.15</v>
      </c>
      <c r="G96">
        <f>NOW()</f>
        <v/>
      </c>
    </row>
    <row r="97">
      <c r="A97" t="inlineStr">
        <is>
          <t>CUST10</t>
        </is>
      </c>
      <c r="B97" t="inlineStr">
        <is>
          <t>North</t>
        </is>
      </c>
      <c r="C97" t="inlineStr">
        <is>
          <t>Furniture</t>
        </is>
      </c>
      <c r="D97" t="n">
        <v>16233</v>
      </c>
      <c r="E97" t="n">
        <v>1623</v>
      </c>
      <c r="F97" t="n">
        <v>0.1</v>
      </c>
      <c r="G97">
        <f>NOW()</f>
        <v/>
      </c>
    </row>
    <row r="98">
      <c r="A98" t="inlineStr">
        <is>
          <t>CUST7</t>
        </is>
      </c>
      <c r="B98" t="inlineStr">
        <is>
          <t>West</t>
        </is>
      </c>
      <c r="C98" t="inlineStr">
        <is>
          <t>Furniture</t>
        </is>
      </c>
      <c r="D98" t="n">
        <v>10904</v>
      </c>
      <c r="E98" t="n">
        <v>545</v>
      </c>
      <c r="F98" t="n">
        <v>0.15</v>
      </c>
      <c r="G98">
        <f>NOW()</f>
        <v/>
      </c>
    </row>
    <row r="99">
      <c r="A99" t="inlineStr">
        <is>
          <t>CUST18</t>
        </is>
      </c>
      <c r="B99" t="inlineStr">
        <is>
          <t>West</t>
        </is>
      </c>
      <c r="C99" t="inlineStr">
        <is>
          <t>Electronics</t>
        </is>
      </c>
      <c r="D99" t="n">
        <v>16202</v>
      </c>
      <c r="E99" t="n">
        <v>1620</v>
      </c>
      <c r="F99" t="n">
        <v>0.1</v>
      </c>
      <c r="G99">
        <f>NOW()</f>
        <v/>
      </c>
    </row>
    <row r="100">
      <c r="A100" t="inlineStr">
        <is>
          <t>CUST21</t>
        </is>
      </c>
      <c r="B100" t="inlineStr">
        <is>
          <t>South</t>
        </is>
      </c>
      <c r="C100" t="inlineStr">
        <is>
          <t>Furniture</t>
        </is>
      </c>
      <c r="D100" t="n">
        <v>9778</v>
      </c>
      <c r="E100" t="n">
        <v>488</v>
      </c>
      <c r="F100" t="n">
        <v>0.15</v>
      </c>
      <c r="G100">
        <f>NOW()</f>
        <v/>
      </c>
    </row>
    <row r="101">
      <c r="A101" t="inlineStr">
        <is>
          <t>CUST2</t>
        </is>
      </c>
      <c r="B101" t="inlineStr">
        <is>
          <t>North</t>
        </is>
      </c>
      <c r="C101" t="inlineStr">
        <is>
          <t>Appliances</t>
        </is>
      </c>
      <c r="D101" t="n">
        <v>6280</v>
      </c>
      <c r="E101" t="n">
        <v>628</v>
      </c>
      <c r="F101" t="n">
        <v>0.1</v>
      </c>
      <c r="G101">
        <f>NOW()</f>
        <v/>
      </c>
    </row>
    <row r="102">
      <c r="A102" t="inlineStr">
        <is>
          <t>CUST28</t>
        </is>
      </c>
      <c r="B102" t="inlineStr">
        <is>
          <t>South</t>
        </is>
      </c>
      <c r="C102" t="inlineStr">
        <is>
          <t>Furniture</t>
        </is>
      </c>
      <c r="D102" t="n">
        <v>16447</v>
      </c>
      <c r="E102" t="n">
        <v>1644</v>
      </c>
      <c r="F102" t="n">
        <v>0.1</v>
      </c>
      <c r="G102">
        <f>NOW()</f>
        <v/>
      </c>
    </row>
    <row r="103">
      <c r="A103" t="inlineStr">
        <is>
          <t>CUST5</t>
        </is>
      </c>
      <c r="B103" t="inlineStr">
        <is>
          <t>North</t>
        </is>
      </c>
      <c r="C103" t="inlineStr">
        <is>
          <t>Appliances</t>
        </is>
      </c>
      <c r="D103" t="n">
        <v>8156</v>
      </c>
      <c r="E103" t="n">
        <v>1223</v>
      </c>
      <c r="F103" t="n">
        <v>0.05</v>
      </c>
      <c r="G103">
        <f>NOW()</f>
        <v/>
      </c>
    </row>
    <row r="104">
      <c r="A104" t="inlineStr">
        <is>
          <t>CUST1</t>
        </is>
      </c>
      <c r="B104" t="inlineStr">
        <is>
          <t>East</t>
        </is>
      </c>
      <c r="C104" t="inlineStr">
        <is>
          <t>Furniture</t>
        </is>
      </c>
      <c r="D104" t="n">
        <v>12559</v>
      </c>
      <c r="E104" t="n">
        <v>1255</v>
      </c>
      <c r="F104" t="n">
        <v>0.1</v>
      </c>
      <c r="G104">
        <f>NOW()</f>
        <v/>
      </c>
    </row>
    <row r="105">
      <c r="A105" t="inlineStr">
        <is>
          <t>CUST21</t>
        </is>
      </c>
      <c r="B105" t="inlineStr">
        <is>
          <t>East</t>
        </is>
      </c>
      <c r="C105" t="inlineStr">
        <is>
          <t>Appliances</t>
        </is>
      </c>
      <c r="D105" t="n">
        <v>6562</v>
      </c>
      <c r="E105" t="n">
        <v>656</v>
      </c>
      <c r="F105" t="n">
        <v>0.1</v>
      </c>
      <c r="G105">
        <f>NOW()</f>
        <v/>
      </c>
    </row>
    <row r="106">
      <c r="A106" t="inlineStr">
        <is>
          <t>CUST14</t>
        </is>
      </c>
      <c r="B106" t="inlineStr">
        <is>
          <t>South</t>
        </is>
      </c>
      <c r="C106" t="inlineStr">
        <is>
          <t>Appliances</t>
        </is>
      </c>
      <c r="D106" t="n">
        <v>18611</v>
      </c>
      <c r="E106" t="n">
        <v>2791</v>
      </c>
      <c r="F106" t="n">
        <v>0.05</v>
      </c>
      <c r="G106">
        <f>NOW()</f>
        <v/>
      </c>
    </row>
    <row r="107">
      <c r="A107" t="inlineStr">
        <is>
          <t>CUST23</t>
        </is>
      </c>
      <c r="B107" t="inlineStr">
        <is>
          <t>West</t>
        </is>
      </c>
      <c r="C107" t="inlineStr">
        <is>
          <t>Appliances</t>
        </is>
      </c>
      <c r="D107" t="n">
        <v>4318</v>
      </c>
      <c r="E107" t="n">
        <v>431</v>
      </c>
      <c r="F107" t="n">
        <v>0.1</v>
      </c>
      <c r="G107">
        <f>NOW()</f>
        <v/>
      </c>
    </row>
    <row r="108">
      <c r="A108" t="inlineStr">
        <is>
          <t>CUST9</t>
        </is>
      </c>
      <c r="B108" t="inlineStr">
        <is>
          <t>South</t>
        </is>
      </c>
      <c r="C108" t="inlineStr">
        <is>
          <t>Appliances</t>
        </is>
      </c>
      <c r="D108" t="n">
        <v>3208</v>
      </c>
      <c r="E108" t="n">
        <v>320</v>
      </c>
      <c r="F108" t="n">
        <v>0.1</v>
      </c>
      <c r="G108">
        <f>NOW()</f>
        <v/>
      </c>
    </row>
    <row r="109">
      <c r="A109" t="inlineStr">
        <is>
          <t>CUST11</t>
        </is>
      </c>
      <c r="B109" t="inlineStr">
        <is>
          <t>South</t>
        </is>
      </c>
      <c r="C109" t="inlineStr">
        <is>
          <t>Appliances</t>
        </is>
      </c>
      <c r="D109" t="n">
        <v>5658</v>
      </c>
      <c r="E109" t="n">
        <v>565</v>
      </c>
      <c r="F109" t="n">
        <v>0.1</v>
      </c>
      <c r="G109">
        <f>NOW()</f>
        <v/>
      </c>
    </row>
    <row r="110">
      <c r="A110" t="inlineStr">
        <is>
          <t>CUST28</t>
        </is>
      </c>
      <c r="B110" t="inlineStr">
        <is>
          <t>West</t>
        </is>
      </c>
      <c r="C110" t="inlineStr">
        <is>
          <t>Furniture</t>
        </is>
      </c>
      <c r="D110" t="n">
        <v>19972</v>
      </c>
      <c r="E110" t="n">
        <v>2995</v>
      </c>
      <c r="F110" t="n">
        <v>0.05</v>
      </c>
      <c r="G110">
        <f>NOW()</f>
        <v/>
      </c>
    </row>
    <row r="111">
      <c r="A111" t="inlineStr">
        <is>
          <t>CUST18</t>
        </is>
      </c>
      <c r="B111" t="inlineStr">
        <is>
          <t>East</t>
        </is>
      </c>
      <c r="C111" t="inlineStr">
        <is>
          <t>Electronics</t>
        </is>
      </c>
      <c r="D111" t="n">
        <v>15921</v>
      </c>
      <c r="E111" t="n">
        <v>796</v>
      </c>
      <c r="F111" t="n">
        <v>0.15</v>
      </c>
      <c r="G111">
        <f>NOW()</f>
        <v/>
      </c>
    </row>
    <row r="112">
      <c r="A112" t="inlineStr">
        <is>
          <t>CUST19</t>
        </is>
      </c>
      <c r="B112" t="inlineStr">
        <is>
          <t>East</t>
        </is>
      </c>
      <c r="C112" t="inlineStr">
        <is>
          <t>Furniture</t>
        </is>
      </c>
      <c r="D112" t="n">
        <v>6461</v>
      </c>
      <c r="E112" t="n">
        <v>323</v>
      </c>
      <c r="F112" t="n">
        <v>0.15</v>
      </c>
      <c r="G112">
        <f>NOW()</f>
        <v/>
      </c>
    </row>
    <row r="113">
      <c r="A113" t="inlineStr">
        <is>
          <t>CUST1</t>
        </is>
      </c>
      <c r="B113" t="inlineStr">
        <is>
          <t>South</t>
        </is>
      </c>
      <c r="C113" t="inlineStr">
        <is>
          <t>Electronics</t>
        </is>
      </c>
      <c r="D113" t="n">
        <v>16751</v>
      </c>
      <c r="E113" t="n">
        <v>837</v>
      </c>
      <c r="F113" t="n">
        <v>0.15</v>
      </c>
      <c r="G113">
        <f>NOW()</f>
        <v/>
      </c>
    </row>
    <row r="114">
      <c r="A114" t="inlineStr">
        <is>
          <t>CUST16</t>
        </is>
      </c>
      <c r="B114" t="inlineStr">
        <is>
          <t>North</t>
        </is>
      </c>
      <c r="C114" t="inlineStr">
        <is>
          <t>Appliances</t>
        </is>
      </c>
      <c r="D114" t="n">
        <v>9991</v>
      </c>
      <c r="E114" t="n">
        <v>499</v>
      </c>
      <c r="F114" t="n">
        <v>0.15</v>
      </c>
      <c r="G114">
        <f>NOW()</f>
        <v/>
      </c>
    </row>
    <row r="115">
      <c r="A115" t="inlineStr">
        <is>
          <t>CUST15</t>
        </is>
      </c>
      <c r="B115" t="inlineStr">
        <is>
          <t>South</t>
        </is>
      </c>
      <c r="C115" t="inlineStr">
        <is>
          <t>Appliances</t>
        </is>
      </c>
      <c r="D115" t="n">
        <v>16482</v>
      </c>
      <c r="E115" t="n">
        <v>1648</v>
      </c>
      <c r="F115" t="n">
        <v>0.1</v>
      </c>
      <c r="G115">
        <f>NOW()</f>
        <v/>
      </c>
    </row>
    <row r="116">
      <c r="A116" t="inlineStr">
        <is>
          <t>CUST9</t>
        </is>
      </c>
      <c r="B116" t="inlineStr">
        <is>
          <t>North</t>
        </is>
      </c>
      <c r="C116" t="inlineStr">
        <is>
          <t>Appliances</t>
        </is>
      </c>
      <c r="D116" t="n">
        <v>15297</v>
      </c>
      <c r="E116" t="n">
        <v>2294</v>
      </c>
      <c r="F116" t="n">
        <v>0.05</v>
      </c>
      <c r="G116">
        <f>NOW()</f>
        <v/>
      </c>
    </row>
    <row r="117">
      <c r="A117" t="inlineStr">
        <is>
          <t>CUST10</t>
        </is>
      </c>
      <c r="B117" t="inlineStr">
        <is>
          <t>West</t>
        </is>
      </c>
      <c r="C117" t="inlineStr">
        <is>
          <t>Furniture</t>
        </is>
      </c>
      <c r="D117" t="n">
        <v>16806</v>
      </c>
      <c r="E117" t="n">
        <v>2520</v>
      </c>
      <c r="F117" t="n">
        <v>0.05</v>
      </c>
      <c r="G117">
        <f>NOW()</f>
        <v/>
      </c>
    </row>
    <row r="118">
      <c r="A118" t="inlineStr">
        <is>
          <t>CUST8</t>
        </is>
      </c>
      <c r="B118" t="inlineStr">
        <is>
          <t>South</t>
        </is>
      </c>
      <c r="C118" t="inlineStr">
        <is>
          <t>Electronics</t>
        </is>
      </c>
      <c r="D118" t="n">
        <v>15461</v>
      </c>
      <c r="E118" t="n">
        <v>1546</v>
      </c>
      <c r="F118" t="n">
        <v>0.1</v>
      </c>
      <c r="G118">
        <f>NOW()</f>
        <v/>
      </c>
    </row>
    <row r="119">
      <c r="A119" t="inlineStr">
        <is>
          <t>CUST7</t>
        </is>
      </c>
      <c r="B119" t="inlineStr">
        <is>
          <t>West</t>
        </is>
      </c>
      <c r="C119" t="inlineStr">
        <is>
          <t>Electronics</t>
        </is>
      </c>
      <c r="D119" t="n">
        <v>12723</v>
      </c>
      <c r="E119" t="n">
        <v>1272</v>
      </c>
      <c r="F119" t="n">
        <v>0.1</v>
      </c>
      <c r="G119">
        <f>NOW()</f>
        <v/>
      </c>
    </row>
    <row r="120">
      <c r="A120" t="inlineStr">
        <is>
          <t>CUST18</t>
        </is>
      </c>
      <c r="B120" t="inlineStr">
        <is>
          <t>North</t>
        </is>
      </c>
      <c r="C120" t="inlineStr">
        <is>
          <t>Appliances</t>
        </is>
      </c>
      <c r="D120" t="n">
        <v>4080</v>
      </c>
      <c r="E120" t="n">
        <v>204</v>
      </c>
      <c r="F120" t="n">
        <v>0.15</v>
      </c>
      <c r="G120">
        <f>NOW()</f>
        <v/>
      </c>
    </row>
    <row r="121">
      <c r="A121" t="inlineStr">
        <is>
          <t>CUST2</t>
        </is>
      </c>
      <c r="B121" t="inlineStr">
        <is>
          <t>West</t>
        </is>
      </c>
      <c r="C121" t="inlineStr">
        <is>
          <t>Appliances</t>
        </is>
      </c>
      <c r="D121" t="n">
        <v>11545</v>
      </c>
      <c r="E121" t="n">
        <v>1731</v>
      </c>
      <c r="F121" t="n">
        <v>0.05</v>
      </c>
      <c r="G121">
        <f>NOW()</f>
        <v/>
      </c>
    </row>
    <row r="122">
      <c r="A122" t="inlineStr">
        <is>
          <t>CUST5</t>
        </is>
      </c>
      <c r="B122" t="inlineStr">
        <is>
          <t>West</t>
        </is>
      </c>
      <c r="C122" t="inlineStr">
        <is>
          <t>Electronics</t>
        </is>
      </c>
      <c r="D122" t="n">
        <v>18178</v>
      </c>
      <c r="E122" t="n">
        <v>2726</v>
      </c>
      <c r="F122" t="n">
        <v>0.05</v>
      </c>
      <c r="G122">
        <f>NOW()</f>
        <v/>
      </c>
    </row>
    <row r="123">
      <c r="A123" t="inlineStr">
        <is>
          <t>CUST17</t>
        </is>
      </c>
      <c r="B123" t="inlineStr">
        <is>
          <t>North</t>
        </is>
      </c>
      <c r="C123" t="inlineStr">
        <is>
          <t>Appliances</t>
        </is>
      </c>
      <c r="D123" t="n">
        <v>12591</v>
      </c>
      <c r="E123" t="n">
        <v>1259</v>
      </c>
      <c r="F123" t="n">
        <v>0.1</v>
      </c>
      <c r="G123">
        <f>NOW()</f>
        <v/>
      </c>
    </row>
    <row r="124">
      <c r="A124" t="inlineStr">
        <is>
          <t>CUST25</t>
        </is>
      </c>
      <c r="B124" t="inlineStr">
        <is>
          <t>East</t>
        </is>
      </c>
      <c r="C124" t="inlineStr">
        <is>
          <t>Electronics</t>
        </is>
      </c>
      <c r="D124" t="n">
        <v>5494</v>
      </c>
      <c r="E124" t="n">
        <v>824</v>
      </c>
      <c r="F124" t="n">
        <v>0.05</v>
      </c>
      <c r="G124">
        <f>NOW()</f>
        <v/>
      </c>
    </row>
    <row r="125">
      <c r="A125" t="inlineStr">
        <is>
          <t>CUST21</t>
        </is>
      </c>
      <c r="B125" t="inlineStr">
        <is>
          <t>East</t>
        </is>
      </c>
      <c r="C125" t="inlineStr">
        <is>
          <t>Appliances</t>
        </is>
      </c>
      <c r="D125" t="n">
        <v>17872</v>
      </c>
      <c r="E125" t="n">
        <v>1787</v>
      </c>
      <c r="F125" t="n">
        <v>0.1</v>
      </c>
      <c r="G125">
        <f>NOW()</f>
        <v/>
      </c>
    </row>
    <row r="126">
      <c r="A126" t="inlineStr">
        <is>
          <t>CUST28</t>
        </is>
      </c>
      <c r="B126" t="inlineStr">
        <is>
          <t>South</t>
        </is>
      </c>
      <c r="C126" t="inlineStr">
        <is>
          <t>Appliances</t>
        </is>
      </c>
      <c r="D126" t="n">
        <v>8269</v>
      </c>
      <c r="E126" t="n">
        <v>413</v>
      </c>
      <c r="F126" t="n">
        <v>0.15</v>
      </c>
      <c r="G126">
        <f>NOW()</f>
        <v/>
      </c>
    </row>
    <row r="127">
      <c r="A127" t="inlineStr">
        <is>
          <t>CUST21</t>
        </is>
      </c>
      <c r="B127" t="inlineStr">
        <is>
          <t>North</t>
        </is>
      </c>
      <c r="C127" t="inlineStr">
        <is>
          <t>Electronics</t>
        </is>
      </c>
      <c r="D127" t="n">
        <v>12142</v>
      </c>
      <c r="E127" t="n">
        <v>1214</v>
      </c>
      <c r="F127" t="n">
        <v>0.1</v>
      </c>
      <c r="G127">
        <f>NOW()</f>
        <v/>
      </c>
    </row>
    <row r="128">
      <c r="A128" t="inlineStr">
        <is>
          <t>CUST9</t>
        </is>
      </c>
      <c r="B128" t="inlineStr">
        <is>
          <t>West</t>
        </is>
      </c>
      <c r="C128" t="inlineStr">
        <is>
          <t>Furniture</t>
        </is>
      </c>
      <c r="D128" t="n">
        <v>12073</v>
      </c>
      <c r="E128" t="n">
        <v>603</v>
      </c>
      <c r="F128" t="n">
        <v>0.15</v>
      </c>
      <c r="G128">
        <f>NOW()</f>
        <v/>
      </c>
    </row>
    <row r="129">
      <c r="A129" t="inlineStr">
        <is>
          <t>CUST2</t>
        </is>
      </c>
      <c r="B129" t="inlineStr">
        <is>
          <t>South</t>
        </is>
      </c>
      <c r="C129" t="inlineStr">
        <is>
          <t>Electronics</t>
        </is>
      </c>
      <c r="D129" t="n">
        <v>9213</v>
      </c>
      <c r="E129" t="n">
        <v>921</v>
      </c>
      <c r="F129" t="n">
        <v>0.1</v>
      </c>
      <c r="G129">
        <f>NOW()</f>
        <v/>
      </c>
    </row>
    <row r="130">
      <c r="A130" t="inlineStr">
        <is>
          <t>CUST13</t>
        </is>
      </c>
      <c r="B130" t="inlineStr">
        <is>
          <t>North</t>
        </is>
      </c>
      <c r="C130" t="inlineStr">
        <is>
          <t>Furniture</t>
        </is>
      </c>
      <c r="D130" t="n">
        <v>18067</v>
      </c>
      <c r="E130" t="n">
        <v>2710</v>
      </c>
      <c r="F130" t="n">
        <v>0.05</v>
      </c>
      <c r="G130">
        <f>NOW()</f>
        <v/>
      </c>
    </row>
    <row r="131">
      <c r="A131" t="inlineStr">
        <is>
          <t>CUST25</t>
        </is>
      </c>
      <c r="B131" t="inlineStr">
        <is>
          <t>South</t>
        </is>
      </c>
      <c r="C131" t="inlineStr">
        <is>
          <t>Electronics</t>
        </is>
      </c>
      <c r="D131" t="n">
        <v>7911</v>
      </c>
      <c r="E131" t="n">
        <v>791</v>
      </c>
      <c r="F131" t="n">
        <v>0.1</v>
      </c>
      <c r="G131">
        <f>NOW()</f>
        <v/>
      </c>
    </row>
    <row r="132">
      <c r="A132" t="inlineStr">
        <is>
          <t>CUST13</t>
        </is>
      </c>
      <c r="B132" t="inlineStr">
        <is>
          <t>South</t>
        </is>
      </c>
      <c r="C132" t="inlineStr">
        <is>
          <t>Electronics</t>
        </is>
      </c>
      <c r="D132" t="n">
        <v>6833</v>
      </c>
      <c r="E132" t="n">
        <v>1024</v>
      </c>
      <c r="F132" t="n">
        <v>0.05</v>
      </c>
      <c r="G132">
        <f>NOW()</f>
        <v/>
      </c>
    </row>
    <row r="133">
      <c r="A133" t="inlineStr">
        <is>
          <t>CUST2</t>
        </is>
      </c>
      <c r="B133" t="inlineStr">
        <is>
          <t>West</t>
        </is>
      </c>
      <c r="C133" t="inlineStr">
        <is>
          <t>Appliances</t>
        </is>
      </c>
      <c r="D133" t="n">
        <v>7033</v>
      </c>
      <c r="E133" t="n">
        <v>1054</v>
      </c>
      <c r="F133" t="n">
        <v>0.05</v>
      </c>
      <c r="G133">
        <f>NOW()</f>
        <v/>
      </c>
    </row>
    <row r="134">
      <c r="A134" t="inlineStr">
        <is>
          <t>CUST10</t>
        </is>
      </c>
      <c r="B134" t="inlineStr">
        <is>
          <t>North</t>
        </is>
      </c>
      <c r="C134" t="inlineStr">
        <is>
          <t>Furniture</t>
        </is>
      </c>
      <c r="D134" t="n">
        <v>6117</v>
      </c>
      <c r="E134" t="n">
        <v>305</v>
      </c>
      <c r="F134" t="n">
        <v>0.15</v>
      </c>
      <c r="G134">
        <f>NOW()</f>
        <v/>
      </c>
    </row>
    <row r="135">
      <c r="A135" t="inlineStr">
        <is>
          <t>CUST24</t>
        </is>
      </c>
      <c r="B135" t="inlineStr">
        <is>
          <t>North</t>
        </is>
      </c>
      <c r="C135" t="inlineStr">
        <is>
          <t>Electronics</t>
        </is>
      </c>
      <c r="D135" t="n">
        <v>13569</v>
      </c>
      <c r="E135" t="n">
        <v>2035</v>
      </c>
      <c r="F135" t="n">
        <v>0.05</v>
      </c>
      <c r="G135">
        <f>NOW()</f>
        <v/>
      </c>
    </row>
    <row r="136">
      <c r="A136" t="inlineStr">
        <is>
          <t>CUST4</t>
        </is>
      </c>
      <c r="B136" t="inlineStr">
        <is>
          <t>East</t>
        </is>
      </c>
      <c r="C136" t="inlineStr">
        <is>
          <t>Electronics</t>
        </is>
      </c>
      <c r="D136" t="n">
        <v>2827</v>
      </c>
      <c r="E136" t="n">
        <v>282</v>
      </c>
      <c r="F136" t="n">
        <v>0.1</v>
      </c>
      <c r="G136">
        <f>NOW()</f>
        <v/>
      </c>
    </row>
    <row r="137">
      <c r="A137" t="inlineStr">
        <is>
          <t>CUST15</t>
        </is>
      </c>
      <c r="B137" t="inlineStr">
        <is>
          <t>East</t>
        </is>
      </c>
      <c r="C137" t="inlineStr">
        <is>
          <t>Appliances</t>
        </is>
      </c>
      <c r="D137" t="n">
        <v>2335</v>
      </c>
      <c r="E137" t="n">
        <v>233</v>
      </c>
      <c r="F137" t="n">
        <v>0.1</v>
      </c>
      <c r="G137">
        <f>NOW()</f>
        <v/>
      </c>
    </row>
    <row r="138">
      <c r="A138" t="inlineStr">
        <is>
          <t>CUST7</t>
        </is>
      </c>
      <c r="B138" t="inlineStr">
        <is>
          <t>South</t>
        </is>
      </c>
      <c r="C138" t="inlineStr">
        <is>
          <t>Appliances</t>
        </is>
      </c>
      <c r="D138" t="n">
        <v>8418</v>
      </c>
      <c r="E138" t="n">
        <v>1262</v>
      </c>
      <c r="F138" t="n">
        <v>0.05</v>
      </c>
      <c r="G138">
        <f>NOW()</f>
        <v/>
      </c>
    </row>
    <row r="139">
      <c r="A139" t="inlineStr">
        <is>
          <t>CUST19</t>
        </is>
      </c>
      <c r="B139" t="inlineStr">
        <is>
          <t>East</t>
        </is>
      </c>
      <c r="C139" t="inlineStr">
        <is>
          <t>Furniture</t>
        </is>
      </c>
      <c r="D139" t="n">
        <v>10715</v>
      </c>
      <c r="E139" t="n">
        <v>535</v>
      </c>
      <c r="F139" t="n">
        <v>0.15</v>
      </c>
      <c r="G139">
        <f>NOW()</f>
        <v/>
      </c>
    </row>
    <row r="140">
      <c r="A140" t="inlineStr">
        <is>
          <t>CUST24</t>
        </is>
      </c>
      <c r="B140" t="inlineStr">
        <is>
          <t>East</t>
        </is>
      </c>
      <c r="C140" t="inlineStr">
        <is>
          <t>Electronics</t>
        </is>
      </c>
      <c r="D140" t="n">
        <v>10688</v>
      </c>
      <c r="E140" t="n">
        <v>534</v>
      </c>
      <c r="F140" t="n">
        <v>0.15</v>
      </c>
      <c r="G140">
        <f>NOW()</f>
        <v/>
      </c>
    </row>
    <row r="141">
      <c r="A141" t="inlineStr">
        <is>
          <t>CUST20</t>
        </is>
      </c>
      <c r="B141" t="inlineStr">
        <is>
          <t>West</t>
        </is>
      </c>
      <c r="C141" t="inlineStr">
        <is>
          <t>Electronics</t>
        </is>
      </c>
      <c r="D141" t="n">
        <v>4434</v>
      </c>
      <c r="E141" t="n">
        <v>665</v>
      </c>
      <c r="F141" t="n">
        <v>0.05</v>
      </c>
      <c r="G141">
        <f>NOW()</f>
        <v/>
      </c>
    </row>
    <row r="142">
      <c r="A142" t="inlineStr">
        <is>
          <t>CUST9</t>
        </is>
      </c>
      <c r="B142" t="inlineStr">
        <is>
          <t>South</t>
        </is>
      </c>
      <c r="C142" t="inlineStr">
        <is>
          <t>Electronics</t>
        </is>
      </c>
      <c r="D142" t="n">
        <v>8745</v>
      </c>
      <c r="E142" t="n">
        <v>437</v>
      </c>
      <c r="F142" t="n">
        <v>0.15</v>
      </c>
      <c r="G142">
        <f>NOW()</f>
        <v/>
      </c>
    </row>
    <row r="143">
      <c r="A143" t="inlineStr">
        <is>
          <t>CUST20</t>
        </is>
      </c>
      <c r="B143" t="inlineStr">
        <is>
          <t>South</t>
        </is>
      </c>
      <c r="C143" t="inlineStr">
        <is>
          <t>Electronics</t>
        </is>
      </c>
      <c r="D143" t="n">
        <v>6098</v>
      </c>
      <c r="E143" t="n">
        <v>914</v>
      </c>
      <c r="F143" t="n">
        <v>0.05</v>
      </c>
      <c r="G143">
        <f>NOW()</f>
        <v/>
      </c>
    </row>
    <row r="144">
      <c r="A144" t="inlineStr">
        <is>
          <t>CUST2</t>
        </is>
      </c>
      <c r="B144" t="inlineStr">
        <is>
          <t>South</t>
        </is>
      </c>
      <c r="C144" t="inlineStr">
        <is>
          <t>Electronics</t>
        </is>
      </c>
      <c r="D144" t="n">
        <v>3434</v>
      </c>
      <c r="E144" t="n">
        <v>515</v>
      </c>
      <c r="F144" t="n">
        <v>0.05</v>
      </c>
      <c r="G144">
        <f>NOW()</f>
        <v/>
      </c>
    </row>
    <row r="145">
      <c r="A145" t="inlineStr">
        <is>
          <t>CUST11</t>
        </is>
      </c>
      <c r="B145" t="inlineStr">
        <is>
          <t>South</t>
        </is>
      </c>
      <c r="C145" t="inlineStr">
        <is>
          <t>Electronics</t>
        </is>
      </c>
      <c r="D145" t="n">
        <v>6415</v>
      </c>
      <c r="E145" t="n">
        <v>641</v>
      </c>
      <c r="F145" t="n">
        <v>0.1</v>
      </c>
      <c r="G145">
        <f>NOW()</f>
        <v/>
      </c>
    </row>
    <row r="146">
      <c r="A146" t="inlineStr">
        <is>
          <t>CUST30</t>
        </is>
      </c>
      <c r="B146" t="inlineStr">
        <is>
          <t>North</t>
        </is>
      </c>
      <c r="C146" t="inlineStr">
        <is>
          <t>Appliances</t>
        </is>
      </c>
      <c r="D146" t="n">
        <v>1969</v>
      </c>
      <c r="E146" t="n">
        <v>196</v>
      </c>
      <c r="F146" t="n">
        <v>0.1</v>
      </c>
      <c r="G146">
        <f>NOW()</f>
        <v/>
      </c>
    </row>
    <row r="147">
      <c r="A147" t="inlineStr">
        <is>
          <t>CUST14</t>
        </is>
      </c>
      <c r="B147" t="inlineStr">
        <is>
          <t>West</t>
        </is>
      </c>
      <c r="C147" t="inlineStr">
        <is>
          <t>Furniture</t>
        </is>
      </c>
      <c r="D147" t="n">
        <v>9600</v>
      </c>
      <c r="E147" t="n">
        <v>480</v>
      </c>
      <c r="F147" t="n">
        <v>0.15</v>
      </c>
      <c r="G147">
        <f>NOW()</f>
        <v/>
      </c>
    </row>
    <row r="148">
      <c r="A148" t="inlineStr">
        <is>
          <t>CUST3</t>
        </is>
      </c>
      <c r="B148" t="inlineStr">
        <is>
          <t>South</t>
        </is>
      </c>
      <c r="C148" t="inlineStr">
        <is>
          <t>Appliances</t>
        </is>
      </c>
      <c r="D148" t="n">
        <v>1197</v>
      </c>
      <c r="E148" t="n">
        <v>179</v>
      </c>
      <c r="F148" t="n">
        <v>0.05</v>
      </c>
      <c r="G148">
        <f>NOW()</f>
        <v/>
      </c>
    </row>
    <row r="149">
      <c r="A149" t="inlineStr">
        <is>
          <t>CUST29</t>
        </is>
      </c>
      <c r="B149" t="inlineStr">
        <is>
          <t>North</t>
        </is>
      </c>
      <c r="C149" t="inlineStr">
        <is>
          <t>Furniture</t>
        </is>
      </c>
      <c r="D149" t="n">
        <v>2184</v>
      </c>
      <c r="E149" t="n">
        <v>327</v>
      </c>
      <c r="F149" t="n">
        <v>0.05</v>
      </c>
      <c r="G149">
        <f>NOW()</f>
        <v/>
      </c>
    </row>
    <row r="150">
      <c r="A150" t="inlineStr">
        <is>
          <t>CUST10</t>
        </is>
      </c>
      <c r="B150" t="inlineStr">
        <is>
          <t>South</t>
        </is>
      </c>
      <c r="C150" t="inlineStr">
        <is>
          <t>Furniture</t>
        </is>
      </c>
      <c r="D150" t="n">
        <v>13635</v>
      </c>
      <c r="E150" t="n">
        <v>1363</v>
      </c>
      <c r="F150" t="n">
        <v>0.1</v>
      </c>
      <c r="G150">
        <f>NOW()</f>
        <v/>
      </c>
    </row>
    <row r="151">
      <c r="A151" t="inlineStr">
        <is>
          <t>CUST11</t>
        </is>
      </c>
      <c r="B151" t="inlineStr">
        <is>
          <t>East</t>
        </is>
      </c>
      <c r="C151" t="inlineStr">
        <is>
          <t>Appliances</t>
        </is>
      </c>
      <c r="D151" t="n">
        <v>8196</v>
      </c>
      <c r="E151" t="n">
        <v>409</v>
      </c>
      <c r="F151" t="n">
        <v>0.15</v>
      </c>
      <c r="G151">
        <f>NOW()</f>
        <v/>
      </c>
    </row>
    <row r="152">
      <c r="A152" t="inlineStr">
        <is>
          <t>CUST30</t>
        </is>
      </c>
      <c r="B152" t="inlineStr">
        <is>
          <t>West</t>
        </is>
      </c>
      <c r="C152" t="inlineStr">
        <is>
          <t>Furniture</t>
        </is>
      </c>
      <c r="D152" t="n">
        <v>7865</v>
      </c>
      <c r="E152" t="n">
        <v>786</v>
      </c>
      <c r="F152" t="n">
        <v>0.1</v>
      </c>
      <c r="G152">
        <f>NOW()</f>
        <v/>
      </c>
    </row>
    <row r="153">
      <c r="A153" t="inlineStr">
        <is>
          <t>CUST28</t>
        </is>
      </c>
      <c r="B153" t="inlineStr">
        <is>
          <t>North</t>
        </is>
      </c>
      <c r="C153" t="inlineStr">
        <is>
          <t>Electronics</t>
        </is>
      </c>
      <c r="D153" t="n">
        <v>1355</v>
      </c>
      <c r="E153" t="n">
        <v>67</v>
      </c>
      <c r="F153" t="n">
        <v>0.15</v>
      </c>
      <c r="G153">
        <f>NOW()</f>
        <v/>
      </c>
    </row>
    <row r="154">
      <c r="A154" t="inlineStr">
        <is>
          <t>CUST10</t>
        </is>
      </c>
      <c r="B154" t="inlineStr">
        <is>
          <t>North</t>
        </is>
      </c>
      <c r="C154" t="inlineStr">
        <is>
          <t>Appliances</t>
        </is>
      </c>
      <c r="D154" t="n">
        <v>1586</v>
      </c>
      <c r="E154" t="n">
        <v>237</v>
      </c>
      <c r="F154" t="n">
        <v>0.05</v>
      </c>
      <c r="G154">
        <f>NOW()</f>
        <v/>
      </c>
    </row>
    <row r="155">
      <c r="A155" t="inlineStr">
        <is>
          <t>CUST15</t>
        </is>
      </c>
      <c r="B155" t="inlineStr">
        <is>
          <t>North</t>
        </is>
      </c>
      <c r="C155" t="inlineStr">
        <is>
          <t>Appliances</t>
        </is>
      </c>
      <c r="D155" t="n">
        <v>6014</v>
      </c>
      <c r="E155" t="n">
        <v>300</v>
      </c>
      <c r="F155" t="n">
        <v>0.15</v>
      </c>
      <c r="G155">
        <f>NOW()</f>
        <v/>
      </c>
    </row>
    <row r="156">
      <c r="A156" t="inlineStr">
        <is>
          <t>CUST16</t>
        </is>
      </c>
      <c r="B156" t="inlineStr">
        <is>
          <t>North</t>
        </is>
      </c>
      <c r="C156" t="inlineStr">
        <is>
          <t>Appliances</t>
        </is>
      </c>
      <c r="D156" t="n">
        <v>2204</v>
      </c>
      <c r="E156" t="n">
        <v>330</v>
      </c>
      <c r="F156" t="n">
        <v>0.05</v>
      </c>
      <c r="G156">
        <f>NOW()</f>
        <v/>
      </c>
    </row>
    <row r="157">
      <c r="A157" t="inlineStr">
        <is>
          <t>CUST19</t>
        </is>
      </c>
      <c r="B157" t="inlineStr">
        <is>
          <t>East</t>
        </is>
      </c>
      <c r="C157" t="inlineStr">
        <is>
          <t>Furniture</t>
        </is>
      </c>
      <c r="D157" t="n">
        <v>19411</v>
      </c>
      <c r="E157" t="n">
        <v>970</v>
      </c>
      <c r="F157" t="n">
        <v>0.15</v>
      </c>
      <c r="G157">
        <f>NOW()</f>
        <v/>
      </c>
    </row>
    <row r="158">
      <c r="A158" t="inlineStr">
        <is>
          <t>CUST3</t>
        </is>
      </c>
      <c r="B158" t="inlineStr">
        <is>
          <t>West</t>
        </is>
      </c>
      <c r="C158" t="inlineStr">
        <is>
          <t>Furniture</t>
        </is>
      </c>
      <c r="D158" t="n">
        <v>5425</v>
      </c>
      <c r="E158" t="n">
        <v>271</v>
      </c>
      <c r="F158" t="n">
        <v>0.15</v>
      </c>
      <c r="G158">
        <f>NOW()</f>
        <v/>
      </c>
    </row>
    <row r="159">
      <c r="A159" t="inlineStr">
        <is>
          <t>CUST23</t>
        </is>
      </c>
      <c r="B159" t="inlineStr">
        <is>
          <t>East</t>
        </is>
      </c>
      <c r="C159" t="inlineStr">
        <is>
          <t>Appliances</t>
        </is>
      </c>
      <c r="D159" t="n">
        <v>10250</v>
      </c>
      <c r="E159" t="n">
        <v>1537</v>
      </c>
      <c r="F159" t="n">
        <v>0.05</v>
      </c>
      <c r="G159">
        <f>NOW()</f>
        <v/>
      </c>
    </row>
    <row r="160">
      <c r="A160" t="inlineStr">
        <is>
          <t>CUST5</t>
        </is>
      </c>
      <c r="B160" t="inlineStr">
        <is>
          <t>North</t>
        </is>
      </c>
      <c r="C160" t="inlineStr">
        <is>
          <t>Furniture</t>
        </is>
      </c>
      <c r="D160" t="n">
        <v>8006</v>
      </c>
      <c r="E160" t="n">
        <v>400</v>
      </c>
      <c r="F160" t="n">
        <v>0.15</v>
      </c>
      <c r="G160">
        <f>NOW()</f>
        <v/>
      </c>
    </row>
    <row r="161">
      <c r="A161" t="inlineStr">
        <is>
          <t>CUST9</t>
        </is>
      </c>
      <c r="B161" t="inlineStr">
        <is>
          <t>East</t>
        </is>
      </c>
      <c r="C161" t="inlineStr">
        <is>
          <t>Electronics</t>
        </is>
      </c>
      <c r="D161" t="n">
        <v>13812</v>
      </c>
      <c r="E161" t="n">
        <v>2071</v>
      </c>
      <c r="F161" t="n">
        <v>0.05</v>
      </c>
      <c r="G161">
        <f>NOW()</f>
        <v/>
      </c>
    </row>
    <row r="162">
      <c r="A162" t="inlineStr">
        <is>
          <t>CUST23</t>
        </is>
      </c>
      <c r="B162" t="inlineStr">
        <is>
          <t>North</t>
        </is>
      </c>
      <c r="C162" t="inlineStr">
        <is>
          <t>Electronics</t>
        </is>
      </c>
      <c r="D162" t="n">
        <v>13002</v>
      </c>
      <c r="E162" t="n">
        <v>1950</v>
      </c>
      <c r="F162" t="n">
        <v>0.05</v>
      </c>
      <c r="G162">
        <f>NOW()</f>
        <v/>
      </c>
    </row>
    <row r="163">
      <c r="A163" t="inlineStr">
        <is>
          <t>CUST10</t>
        </is>
      </c>
      <c r="B163" t="inlineStr">
        <is>
          <t>North</t>
        </is>
      </c>
      <c r="C163" t="inlineStr">
        <is>
          <t>Furniture</t>
        </is>
      </c>
      <c r="D163" t="n">
        <v>10133</v>
      </c>
      <c r="E163" t="n">
        <v>1013</v>
      </c>
      <c r="F163" t="n">
        <v>0.1</v>
      </c>
      <c r="G163">
        <f>NOW()</f>
        <v/>
      </c>
    </row>
    <row r="164">
      <c r="A164" t="inlineStr">
        <is>
          <t>CUST6</t>
        </is>
      </c>
      <c r="B164" t="inlineStr">
        <is>
          <t>South</t>
        </is>
      </c>
      <c r="C164" t="inlineStr">
        <is>
          <t>Appliances</t>
        </is>
      </c>
      <c r="D164" t="n">
        <v>11352</v>
      </c>
      <c r="E164" t="n">
        <v>567</v>
      </c>
      <c r="F164" t="n">
        <v>0.15</v>
      </c>
      <c r="G164">
        <f>NOW()</f>
        <v/>
      </c>
    </row>
    <row r="165">
      <c r="A165" t="inlineStr">
        <is>
          <t>CUST26</t>
        </is>
      </c>
      <c r="B165" t="inlineStr">
        <is>
          <t>North</t>
        </is>
      </c>
      <c r="C165" t="inlineStr">
        <is>
          <t>Furniture</t>
        </is>
      </c>
      <c r="D165" t="n">
        <v>3095</v>
      </c>
      <c r="E165" t="n">
        <v>464</v>
      </c>
      <c r="F165" t="n">
        <v>0.05</v>
      </c>
      <c r="G165">
        <f>NOW()</f>
        <v/>
      </c>
    </row>
    <row r="166">
      <c r="A166" t="inlineStr">
        <is>
          <t>CUST7</t>
        </is>
      </c>
      <c r="B166" t="inlineStr">
        <is>
          <t>East</t>
        </is>
      </c>
      <c r="C166" t="inlineStr">
        <is>
          <t>Electronics</t>
        </is>
      </c>
      <c r="D166" t="n">
        <v>2468</v>
      </c>
      <c r="E166" t="n">
        <v>246</v>
      </c>
      <c r="F166" t="n">
        <v>0.1</v>
      </c>
      <c r="G166">
        <f>NOW()</f>
        <v/>
      </c>
    </row>
    <row r="167">
      <c r="A167" t="inlineStr">
        <is>
          <t>CUST21</t>
        </is>
      </c>
      <c r="B167" t="inlineStr">
        <is>
          <t>South</t>
        </is>
      </c>
      <c r="C167" t="inlineStr">
        <is>
          <t>Furniture</t>
        </is>
      </c>
      <c r="D167" t="n">
        <v>15179</v>
      </c>
      <c r="E167" t="n">
        <v>2276</v>
      </c>
      <c r="F167" t="n">
        <v>0.05</v>
      </c>
      <c r="G167">
        <f>NOW()</f>
        <v/>
      </c>
    </row>
    <row r="168">
      <c r="A168" t="inlineStr">
        <is>
          <t>CUST8</t>
        </is>
      </c>
      <c r="B168" t="inlineStr">
        <is>
          <t>North</t>
        </is>
      </c>
      <c r="C168" t="inlineStr">
        <is>
          <t>Appliances</t>
        </is>
      </c>
      <c r="D168" t="n">
        <v>16976</v>
      </c>
      <c r="E168" t="n">
        <v>2546</v>
      </c>
      <c r="F168" t="n">
        <v>0.05</v>
      </c>
      <c r="G168">
        <f>NOW()</f>
        <v/>
      </c>
    </row>
    <row r="169">
      <c r="A169" t="inlineStr">
        <is>
          <t>CUST5</t>
        </is>
      </c>
      <c r="B169" t="inlineStr">
        <is>
          <t>North</t>
        </is>
      </c>
      <c r="C169" t="inlineStr">
        <is>
          <t>Furniture</t>
        </is>
      </c>
      <c r="D169" t="n">
        <v>16655</v>
      </c>
      <c r="E169" t="n">
        <v>1665</v>
      </c>
      <c r="F169" t="n">
        <v>0.1</v>
      </c>
      <c r="G169">
        <f>NOW()</f>
        <v/>
      </c>
    </row>
    <row r="170">
      <c r="A170" t="inlineStr">
        <is>
          <t>CUST24</t>
        </is>
      </c>
      <c r="B170" t="inlineStr">
        <is>
          <t>East</t>
        </is>
      </c>
      <c r="C170" t="inlineStr">
        <is>
          <t>Furniture</t>
        </is>
      </c>
      <c r="D170" t="n">
        <v>10178</v>
      </c>
      <c r="E170" t="n">
        <v>1526</v>
      </c>
      <c r="F170" t="n">
        <v>0.05</v>
      </c>
      <c r="G170">
        <f>NOW()</f>
        <v/>
      </c>
    </row>
    <row r="171">
      <c r="A171" t="inlineStr">
        <is>
          <t>CUST15</t>
        </is>
      </c>
      <c r="B171" t="inlineStr">
        <is>
          <t>West</t>
        </is>
      </c>
      <c r="C171" t="inlineStr">
        <is>
          <t>Appliances</t>
        </is>
      </c>
      <c r="D171" t="n">
        <v>17302</v>
      </c>
      <c r="E171" t="n">
        <v>865</v>
      </c>
      <c r="F171" t="n">
        <v>0.15</v>
      </c>
      <c r="G171">
        <f>NOW()</f>
        <v/>
      </c>
    </row>
    <row r="172">
      <c r="A172" t="inlineStr">
        <is>
          <t>CUST22</t>
        </is>
      </c>
      <c r="B172" t="inlineStr">
        <is>
          <t>South</t>
        </is>
      </c>
      <c r="C172" t="inlineStr">
        <is>
          <t>Electronics</t>
        </is>
      </c>
      <c r="D172" t="n">
        <v>9990</v>
      </c>
      <c r="E172" t="n">
        <v>999</v>
      </c>
      <c r="F172" t="n">
        <v>0.1</v>
      </c>
      <c r="G172">
        <f>NOW()</f>
        <v/>
      </c>
    </row>
    <row r="173">
      <c r="A173" t="inlineStr">
        <is>
          <t>CUST23</t>
        </is>
      </c>
      <c r="B173" t="inlineStr">
        <is>
          <t>North</t>
        </is>
      </c>
      <c r="C173" t="inlineStr">
        <is>
          <t>Furniture</t>
        </is>
      </c>
      <c r="D173" t="n">
        <v>18927</v>
      </c>
      <c r="E173" t="n">
        <v>1892</v>
      </c>
      <c r="F173" t="n">
        <v>0.1</v>
      </c>
      <c r="G173">
        <f>NOW()</f>
        <v/>
      </c>
    </row>
    <row r="174">
      <c r="A174" t="inlineStr">
        <is>
          <t>CUST30</t>
        </is>
      </c>
      <c r="B174" t="inlineStr">
        <is>
          <t>North</t>
        </is>
      </c>
      <c r="C174" t="inlineStr">
        <is>
          <t>Electronics</t>
        </is>
      </c>
      <c r="D174" t="n">
        <v>18587</v>
      </c>
      <c r="E174" t="n">
        <v>1858</v>
      </c>
      <c r="F174" t="n">
        <v>0.1</v>
      </c>
      <c r="G174">
        <f>NOW()</f>
        <v/>
      </c>
    </row>
    <row r="175">
      <c r="A175" t="inlineStr">
        <is>
          <t>CUST8</t>
        </is>
      </c>
      <c r="B175" t="inlineStr">
        <is>
          <t>South</t>
        </is>
      </c>
      <c r="C175" t="inlineStr">
        <is>
          <t>Appliances</t>
        </is>
      </c>
      <c r="D175" t="n">
        <v>1633</v>
      </c>
      <c r="E175" t="n">
        <v>81</v>
      </c>
      <c r="F175" t="n">
        <v>0.15</v>
      </c>
      <c r="G175">
        <f>NOW()</f>
        <v/>
      </c>
    </row>
    <row r="176">
      <c r="A176" t="inlineStr">
        <is>
          <t>CUST3</t>
        </is>
      </c>
      <c r="B176" t="inlineStr">
        <is>
          <t>West</t>
        </is>
      </c>
      <c r="C176" t="inlineStr">
        <is>
          <t>Electronics</t>
        </is>
      </c>
      <c r="D176" t="n">
        <v>7346</v>
      </c>
      <c r="E176" t="n">
        <v>367</v>
      </c>
      <c r="F176" t="n">
        <v>0.15</v>
      </c>
      <c r="G176">
        <f>NOW()</f>
        <v/>
      </c>
    </row>
    <row r="177">
      <c r="A177" t="inlineStr">
        <is>
          <t>CUST30</t>
        </is>
      </c>
      <c r="B177" t="inlineStr">
        <is>
          <t>East</t>
        </is>
      </c>
      <c r="C177" t="inlineStr">
        <is>
          <t>Appliances</t>
        </is>
      </c>
      <c r="D177" t="n">
        <v>14820</v>
      </c>
      <c r="E177" t="n">
        <v>1482</v>
      </c>
      <c r="F177" t="n">
        <v>0.1</v>
      </c>
      <c r="G177">
        <f>NOW()</f>
        <v/>
      </c>
    </row>
    <row r="178">
      <c r="A178" t="inlineStr">
        <is>
          <t>CUST4</t>
        </is>
      </c>
      <c r="B178" t="inlineStr">
        <is>
          <t>North</t>
        </is>
      </c>
      <c r="C178" t="inlineStr">
        <is>
          <t>Electronics</t>
        </is>
      </c>
      <c r="D178" t="n">
        <v>5349</v>
      </c>
      <c r="E178" t="n">
        <v>267</v>
      </c>
      <c r="F178" t="n">
        <v>0.15</v>
      </c>
      <c r="G178">
        <f>NOW()</f>
        <v/>
      </c>
    </row>
    <row r="179">
      <c r="A179" t="inlineStr">
        <is>
          <t>CUST7</t>
        </is>
      </c>
      <c r="B179" t="inlineStr">
        <is>
          <t>North</t>
        </is>
      </c>
      <c r="C179" t="inlineStr">
        <is>
          <t>Appliances</t>
        </is>
      </c>
      <c r="D179" t="n">
        <v>3910</v>
      </c>
      <c r="E179" t="n">
        <v>195</v>
      </c>
      <c r="F179" t="n">
        <v>0.15</v>
      </c>
      <c r="G179">
        <f>NOW()</f>
        <v/>
      </c>
    </row>
    <row r="180">
      <c r="A180" t="inlineStr">
        <is>
          <t>CUST18</t>
        </is>
      </c>
      <c r="B180" t="inlineStr">
        <is>
          <t>North</t>
        </is>
      </c>
      <c r="C180" t="inlineStr">
        <is>
          <t>Appliances</t>
        </is>
      </c>
      <c r="D180" t="n">
        <v>16315</v>
      </c>
      <c r="E180" t="n">
        <v>815</v>
      </c>
      <c r="F180" t="n">
        <v>0.15</v>
      </c>
      <c r="G180">
        <f>NOW()</f>
        <v/>
      </c>
    </row>
    <row r="181">
      <c r="A181" t="inlineStr">
        <is>
          <t>CUST22</t>
        </is>
      </c>
      <c r="B181" t="inlineStr">
        <is>
          <t>North</t>
        </is>
      </c>
      <c r="C181" t="inlineStr">
        <is>
          <t>Appliances</t>
        </is>
      </c>
      <c r="D181" t="n">
        <v>8024</v>
      </c>
      <c r="E181" t="n">
        <v>401</v>
      </c>
      <c r="F181" t="n">
        <v>0.15</v>
      </c>
      <c r="G181">
        <f>NOW()</f>
        <v/>
      </c>
    </row>
    <row r="182">
      <c r="A182" t="inlineStr">
        <is>
          <t>CUST2</t>
        </is>
      </c>
      <c r="B182" t="inlineStr">
        <is>
          <t>North</t>
        </is>
      </c>
      <c r="C182" t="inlineStr">
        <is>
          <t>Electronics</t>
        </is>
      </c>
      <c r="D182" t="n">
        <v>14192</v>
      </c>
      <c r="E182" t="n">
        <v>2128</v>
      </c>
      <c r="F182" t="n">
        <v>0.05</v>
      </c>
      <c r="G182">
        <f>NOW()</f>
        <v/>
      </c>
    </row>
    <row r="183">
      <c r="A183" t="inlineStr">
        <is>
          <t>CUST29</t>
        </is>
      </c>
      <c r="B183" t="inlineStr">
        <is>
          <t>North</t>
        </is>
      </c>
      <c r="C183" t="inlineStr">
        <is>
          <t>Furniture</t>
        </is>
      </c>
      <c r="D183" t="n">
        <v>1690</v>
      </c>
      <c r="E183" t="n">
        <v>253</v>
      </c>
      <c r="F183" t="n">
        <v>0.05</v>
      </c>
      <c r="G183">
        <f>NOW()</f>
        <v/>
      </c>
    </row>
    <row r="184">
      <c r="A184" t="inlineStr">
        <is>
          <t>CUST13</t>
        </is>
      </c>
      <c r="B184" t="inlineStr">
        <is>
          <t>North</t>
        </is>
      </c>
      <c r="C184" t="inlineStr">
        <is>
          <t>Furniture</t>
        </is>
      </c>
      <c r="D184" t="n">
        <v>4652</v>
      </c>
      <c r="E184" t="n">
        <v>465</v>
      </c>
      <c r="F184" t="n">
        <v>0.1</v>
      </c>
      <c r="G184">
        <f>NOW()</f>
        <v/>
      </c>
    </row>
    <row r="185">
      <c r="A185" t="inlineStr">
        <is>
          <t>CUST9</t>
        </is>
      </c>
      <c r="B185" t="inlineStr">
        <is>
          <t>South</t>
        </is>
      </c>
      <c r="C185" t="inlineStr">
        <is>
          <t>Furniture</t>
        </is>
      </c>
      <c r="D185" t="n">
        <v>17807</v>
      </c>
      <c r="E185" t="n">
        <v>1780</v>
      </c>
      <c r="F185" t="n">
        <v>0.1</v>
      </c>
      <c r="G185">
        <f>NOW()</f>
        <v/>
      </c>
    </row>
    <row r="186">
      <c r="A186" t="inlineStr">
        <is>
          <t>CUST17</t>
        </is>
      </c>
      <c r="B186" t="inlineStr">
        <is>
          <t>West</t>
        </is>
      </c>
      <c r="C186" t="inlineStr">
        <is>
          <t>Electronics</t>
        </is>
      </c>
      <c r="D186" t="n">
        <v>14906</v>
      </c>
      <c r="E186" t="n">
        <v>745</v>
      </c>
      <c r="F186" t="n">
        <v>0.15</v>
      </c>
      <c r="G186">
        <f>NOW()</f>
        <v/>
      </c>
    </row>
    <row r="187">
      <c r="A187" t="inlineStr">
        <is>
          <t>CUST13</t>
        </is>
      </c>
      <c r="B187" t="inlineStr">
        <is>
          <t>South</t>
        </is>
      </c>
      <c r="C187" t="inlineStr">
        <is>
          <t>Appliances</t>
        </is>
      </c>
      <c r="D187" t="n">
        <v>2253</v>
      </c>
      <c r="E187" t="n">
        <v>112</v>
      </c>
      <c r="F187" t="n">
        <v>0.15</v>
      </c>
      <c r="G187">
        <f>NOW()</f>
        <v/>
      </c>
    </row>
    <row r="188">
      <c r="A188" t="inlineStr">
        <is>
          <t>CUST2</t>
        </is>
      </c>
      <c r="B188" t="inlineStr">
        <is>
          <t>West</t>
        </is>
      </c>
      <c r="C188" t="inlineStr">
        <is>
          <t>Electronics</t>
        </is>
      </c>
      <c r="D188" t="n">
        <v>8895</v>
      </c>
      <c r="E188" t="n">
        <v>1334</v>
      </c>
      <c r="F188" t="n">
        <v>0.05</v>
      </c>
      <c r="G188">
        <f>NOW()</f>
        <v/>
      </c>
    </row>
    <row r="189">
      <c r="A189" t="inlineStr">
        <is>
          <t>CUST17</t>
        </is>
      </c>
      <c r="B189" t="inlineStr">
        <is>
          <t>East</t>
        </is>
      </c>
      <c r="C189" t="inlineStr">
        <is>
          <t>Electronics</t>
        </is>
      </c>
      <c r="D189" t="n">
        <v>19249</v>
      </c>
      <c r="E189" t="n">
        <v>962</v>
      </c>
      <c r="F189" t="n">
        <v>0.15</v>
      </c>
      <c r="G189">
        <f>NOW()</f>
        <v/>
      </c>
    </row>
    <row r="190">
      <c r="A190" t="inlineStr">
        <is>
          <t>CUST27</t>
        </is>
      </c>
      <c r="B190" t="inlineStr">
        <is>
          <t>North</t>
        </is>
      </c>
      <c r="C190" t="inlineStr">
        <is>
          <t>Electronics</t>
        </is>
      </c>
      <c r="D190" t="n">
        <v>15627</v>
      </c>
      <c r="E190" t="n">
        <v>2344</v>
      </c>
      <c r="F190" t="n">
        <v>0.05</v>
      </c>
      <c r="G190">
        <f>NOW()</f>
        <v/>
      </c>
    </row>
    <row r="191">
      <c r="A191" t="inlineStr">
        <is>
          <t>CUST23</t>
        </is>
      </c>
      <c r="B191" t="inlineStr">
        <is>
          <t>East</t>
        </is>
      </c>
      <c r="C191" t="inlineStr">
        <is>
          <t>Furniture</t>
        </is>
      </c>
      <c r="D191" t="n">
        <v>8407</v>
      </c>
      <c r="E191" t="n">
        <v>1261</v>
      </c>
      <c r="F191" t="n">
        <v>0.05</v>
      </c>
      <c r="G191">
        <f>NOW()</f>
        <v/>
      </c>
    </row>
    <row r="192">
      <c r="A192" t="inlineStr">
        <is>
          <t>CUST24</t>
        </is>
      </c>
      <c r="B192" t="inlineStr">
        <is>
          <t>East</t>
        </is>
      </c>
      <c r="C192" t="inlineStr">
        <is>
          <t>Electronics</t>
        </is>
      </c>
      <c r="D192" t="n">
        <v>14965</v>
      </c>
      <c r="E192" t="n">
        <v>748</v>
      </c>
      <c r="F192" t="n">
        <v>0.15</v>
      </c>
      <c r="G192">
        <f>NOW()</f>
        <v/>
      </c>
    </row>
    <row r="193">
      <c r="A193" t="inlineStr">
        <is>
          <t>CUST18</t>
        </is>
      </c>
      <c r="B193" t="inlineStr">
        <is>
          <t>West</t>
        </is>
      </c>
      <c r="C193" t="inlineStr">
        <is>
          <t>Electronics</t>
        </is>
      </c>
      <c r="D193" t="n">
        <v>5053</v>
      </c>
      <c r="E193" t="n">
        <v>757</v>
      </c>
      <c r="F193" t="n">
        <v>0.05</v>
      </c>
      <c r="G193">
        <f>NOW()</f>
        <v/>
      </c>
    </row>
    <row r="194">
      <c r="A194" t="inlineStr">
        <is>
          <t>CUST30</t>
        </is>
      </c>
      <c r="B194" t="inlineStr">
        <is>
          <t>South</t>
        </is>
      </c>
      <c r="C194" t="inlineStr">
        <is>
          <t>Electronics</t>
        </is>
      </c>
      <c r="D194" t="n">
        <v>18191</v>
      </c>
      <c r="E194" t="n">
        <v>909</v>
      </c>
      <c r="F194" t="n">
        <v>0.15</v>
      </c>
      <c r="G194">
        <f>NOW()</f>
        <v/>
      </c>
    </row>
    <row r="195">
      <c r="A195" t="inlineStr">
        <is>
          <t>CUST13</t>
        </is>
      </c>
      <c r="B195" t="inlineStr">
        <is>
          <t>East</t>
        </is>
      </c>
      <c r="C195" t="inlineStr">
        <is>
          <t>Furniture</t>
        </is>
      </c>
      <c r="D195" t="n">
        <v>12326</v>
      </c>
      <c r="E195" t="n">
        <v>1848</v>
      </c>
      <c r="F195" t="n">
        <v>0.05</v>
      </c>
      <c r="G195">
        <f>NOW()</f>
        <v/>
      </c>
    </row>
    <row r="196">
      <c r="A196" t="inlineStr">
        <is>
          <t>CUST25</t>
        </is>
      </c>
      <c r="B196" t="inlineStr">
        <is>
          <t>South</t>
        </is>
      </c>
      <c r="C196" t="inlineStr">
        <is>
          <t>Electronics</t>
        </is>
      </c>
      <c r="D196" t="n">
        <v>5956</v>
      </c>
      <c r="E196" t="n">
        <v>297</v>
      </c>
      <c r="F196" t="n">
        <v>0.15</v>
      </c>
      <c r="G196">
        <f>NOW()</f>
        <v/>
      </c>
    </row>
    <row r="197">
      <c r="A197" t="inlineStr">
        <is>
          <t>CUST9</t>
        </is>
      </c>
      <c r="B197" t="inlineStr">
        <is>
          <t>West</t>
        </is>
      </c>
      <c r="C197" t="inlineStr">
        <is>
          <t>Furniture</t>
        </is>
      </c>
      <c r="D197" t="n">
        <v>4622</v>
      </c>
      <c r="E197" t="n">
        <v>462</v>
      </c>
      <c r="F197" t="n">
        <v>0.1</v>
      </c>
      <c r="G197">
        <f>NOW()</f>
        <v/>
      </c>
    </row>
    <row r="198">
      <c r="A198" t="inlineStr">
        <is>
          <t>CUST28</t>
        </is>
      </c>
      <c r="B198" t="inlineStr">
        <is>
          <t>North</t>
        </is>
      </c>
      <c r="C198" t="inlineStr">
        <is>
          <t>Furniture</t>
        </is>
      </c>
      <c r="D198" t="n">
        <v>2978</v>
      </c>
      <c r="E198" t="n">
        <v>446</v>
      </c>
      <c r="F198" t="n">
        <v>0.05</v>
      </c>
      <c r="G198">
        <f>NOW()</f>
        <v/>
      </c>
    </row>
    <row r="199">
      <c r="A199" t="inlineStr">
        <is>
          <t>CUST25</t>
        </is>
      </c>
      <c r="B199" t="inlineStr">
        <is>
          <t>North</t>
        </is>
      </c>
      <c r="C199" t="inlineStr">
        <is>
          <t>Appliances</t>
        </is>
      </c>
      <c r="D199" t="n">
        <v>16922</v>
      </c>
      <c r="E199" t="n">
        <v>846</v>
      </c>
      <c r="F199" t="n">
        <v>0.15</v>
      </c>
      <c r="G199">
        <f>NOW()</f>
        <v/>
      </c>
    </row>
    <row r="200">
      <c r="A200" t="inlineStr">
        <is>
          <t>CUST26</t>
        </is>
      </c>
      <c r="B200" t="inlineStr">
        <is>
          <t>South</t>
        </is>
      </c>
      <c r="C200" t="inlineStr">
        <is>
          <t>Electronics</t>
        </is>
      </c>
      <c r="D200" t="n">
        <v>16568</v>
      </c>
      <c r="E200" t="n">
        <v>2485</v>
      </c>
      <c r="F200" t="n">
        <v>0.05</v>
      </c>
      <c r="G200">
        <f>NOW()</f>
        <v/>
      </c>
    </row>
    <row r="201">
      <c r="A201" t="inlineStr">
        <is>
          <t>CUST30</t>
        </is>
      </c>
      <c r="B201" t="inlineStr">
        <is>
          <t>North</t>
        </is>
      </c>
      <c r="C201" t="inlineStr">
        <is>
          <t>Electronics</t>
        </is>
      </c>
      <c r="D201" t="n">
        <v>15093</v>
      </c>
      <c r="E201" t="n">
        <v>1509</v>
      </c>
      <c r="F201" t="n">
        <v>0.1</v>
      </c>
      <c r="G201">
        <f>NOW()</f>
        <v/>
      </c>
    </row>
    <row r="202">
      <c r="A202" t="inlineStr">
        <is>
          <t>CUST11</t>
        </is>
      </c>
      <c r="B202" t="inlineStr">
        <is>
          <t>North</t>
        </is>
      </c>
      <c r="C202" t="inlineStr">
        <is>
          <t>Appliances</t>
        </is>
      </c>
      <c r="D202" t="n">
        <v>1161</v>
      </c>
      <c r="E202" t="n">
        <v>116</v>
      </c>
      <c r="F202" t="n">
        <v>0.1</v>
      </c>
      <c r="G202">
        <f>NOW()</f>
        <v/>
      </c>
    </row>
    <row r="203">
      <c r="A203" t="inlineStr">
        <is>
          <t>CUST21</t>
        </is>
      </c>
      <c r="B203" t="inlineStr">
        <is>
          <t>North</t>
        </is>
      </c>
      <c r="C203" t="inlineStr">
        <is>
          <t>Appliances</t>
        </is>
      </c>
      <c r="D203" t="n">
        <v>16748</v>
      </c>
      <c r="E203" t="n">
        <v>1674</v>
      </c>
      <c r="F203" t="n">
        <v>0.1</v>
      </c>
      <c r="G203">
        <f>NOW()</f>
        <v/>
      </c>
    </row>
    <row r="204">
      <c r="A204" t="inlineStr">
        <is>
          <t>CUST17</t>
        </is>
      </c>
      <c r="B204" t="inlineStr">
        <is>
          <t>North</t>
        </is>
      </c>
      <c r="C204" t="inlineStr">
        <is>
          <t>Appliances</t>
        </is>
      </c>
      <c r="D204" t="n">
        <v>3983</v>
      </c>
      <c r="E204" t="n">
        <v>398</v>
      </c>
      <c r="F204" t="n">
        <v>0.1</v>
      </c>
      <c r="G204">
        <f>NOW()</f>
        <v/>
      </c>
    </row>
    <row r="205">
      <c r="A205" t="inlineStr">
        <is>
          <t>CUST7</t>
        </is>
      </c>
      <c r="B205" t="inlineStr">
        <is>
          <t>East</t>
        </is>
      </c>
      <c r="C205" t="inlineStr">
        <is>
          <t>Furniture</t>
        </is>
      </c>
      <c r="D205" t="n">
        <v>18505</v>
      </c>
      <c r="E205" t="n">
        <v>1850</v>
      </c>
      <c r="F205" t="n">
        <v>0.1</v>
      </c>
      <c r="G205">
        <f>NOW()</f>
        <v/>
      </c>
    </row>
    <row r="206">
      <c r="A206" t="inlineStr">
        <is>
          <t>CUST23</t>
        </is>
      </c>
      <c r="B206" t="inlineStr">
        <is>
          <t>North</t>
        </is>
      </c>
      <c r="C206" t="inlineStr">
        <is>
          <t>Furniture</t>
        </is>
      </c>
      <c r="D206" t="n">
        <v>14123</v>
      </c>
      <c r="E206" t="n">
        <v>1412</v>
      </c>
      <c r="F206" t="n">
        <v>0.1</v>
      </c>
      <c r="G206">
        <f>NOW()</f>
        <v/>
      </c>
    </row>
    <row r="207">
      <c r="A207" t="inlineStr">
        <is>
          <t>CUST22</t>
        </is>
      </c>
      <c r="B207" t="inlineStr">
        <is>
          <t>West</t>
        </is>
      </c>
      <c r="C207" t="inlineStr">
        <is>
          <t>Furniture</t>
        </is>
      </c>
      <c r="D207" t="n">
        <v>3919</v>
      </c>
      <c r="E207" t="n">
        <v>195</v>
      </c>
      <c r="F207" t="n">
        <v>0.15</v>
      </c>
      <c r="G207">
        <f>NOW()</f>
        <v/>
      </c>
    </row>
    <row r="208">
      <c r="A208" t="inlineStr">
        <is>
          <t>CUST23</t>
        </is>
      </c>
      <c r="B208" t="inlineStr">
        <is>
          <t>North</t>
        </is>
      </c>
      <c r="C208" t="inlineStr">
        <is>
          <t>Appliances</t>
        </is>
      </c>
      <c r="D208" t="n">
        <v>12310</v>
      </c>
      <c r="E208" t="n">
        <v>1231</v>
      </c>
      <c r="F208" t="n">
        <v>0.1</v>
      </c>
      <c r="G208">
        <f>NOW()</f>
        <v/>
      </c>
    </row>
    <row r="209">
      <c r="A209" t="inlineStr">
        <is>
          <t>CUST19</t>
        </is>
      </c>
      <c r="B209" t="inlineStr">
        <is>
          <t>North</t>
        </is>
      </c>
      <c r="C209" t="inlineStr">
        <is>
          <t>Furniture</t>
        </is>
      </c>
      <c r="D209" t="n">
        <v>17794</v>
      </c>
      <c r="E209" t="n">
        <v>1779</v>
      </c>
      <c r="F209" t="n">
        <v>0.1</v>
      </c>
      <c r="G209">
        <f>NOW()</f>
        <v/>
      </c>
    </row>
    <row r="210">
      <c r="A210" t="inlineStr">
        <is>
          <t>CUST16</t>
        </is>
      </c>
      <c r="B210" t="inlineStr">
        <is>
          <t>North</t>
        </is>
      </c>
      <c r="C210" t="inlineStr">
        <is>
          <t>Furniture</t>
        </is>
      </c>
      <c r="D210" t="n">
        <v>7632</v>
      </c>
      <c r="E210" t="n">
        <v>1144</v>
      </c>
      <c r="F210" t="n">
        <v>0.05</v>
      </c>
      <c r="G210">
        <f>NOW()</f>
        <v/>
      </c>
    </row>
    <row r="211">
      <c r="A211" t="inlineStr">
        <is>
          <t>CUST24</t>
        </is>
      </c>
      <c r="B211" t="inlineStr">
        <is>
          <t>West</t>
        </is>
      </c>
      <c r="C211" t="inlineStr">
        <is>
          <t>Appliances</t>
        </is>
      </c>
      <c r="D211" t="n">
        <v>17529</v>
      </c>
      <c r="E211" t="n">
        <v>2629</v>
      </c>
      <c r="F211" t="n">
        <v>0.05</v>
      </c>
      <c r="G211">
        <f>NOW()</f>
        <v/>
      </c>
    </row>
    <row r="212">
      <c r="A212" t="inlineStr">
        <is>
          <t>CUST18</t>
        </is>
      </c>
      <c r="B212" t="inlineStr">
        <is>
          <t>South</t>
        </is>
      </c>
      <c r="C212" t="inlineStr">
        <is>
          <t>Furniture</t>
        </is>
      </c>
      <c r="D212" t="n">
        <v>5927</v>
      </c>
      <c r="E212" t="n">
        <v>592</v>
      </c>
      <c r="F212" t="n">
        <v>0.1</v>
      </c>
      <c r="G212">
        <f>NOW()</f>
        <v/>
      </c>
    </row>
    <row r="213">
      <c r="A213" t="inlineStr">
        <is>
          <t>CUST19</t>
        </is>
      </c>
      <c r="B213" t="inlineStr">
        <is>
          <t>West</t>
        </is>
      </c>
      <c r="C213" t="inlineStr">
        <is>
          <t>Electronics</t>
        </is>
      </c>
      <c r="D213" t="n">
        <v>16369</v>
      </c>
      <c r="E213" t="n">
        <v>818</v>
      </c>
      <c r="F213" t="n">
        <v>0.15</v>
      </c>
      <c r="G213">
        <f>NOW()</f>
        <v/>
      </c>
    </row>
    <row r="214">
      <c r="A214" t="inlineStr">
        <is>
          <t>CUST25</t>
        </is>
      </c>
      <c r="B214" t="inlineStr">
        <is>
          <t>North</t>
        </is>
      </c>
      <c r="C214" t="inlineStr">
        <is>
          <t>Furniture</t>
        </is>
      </c>
      <c r="D214" t="n">
        <v>4332</v>
      </c>
      <c r="E214" t="n">
        <v>433</v>
      </c>
      <c r="F214" t="n">
        <v>0.1</v>
      </c>
      <c r="G214">
        <f>NOW()</f>
        <v/>
      </c>
    </row>
    <row r="215">
      <c r="A215" t="inlineStr">
        <is>
          <t>CUST9</t>
        </is>
      </c>
      <c r="B215" t="inlineStr">
        <is>
          <t>North</t>
        </is>
      </c>
      <c r="C215" t="inlineStr">
        <is>
          <t>Furniture</t>
        </is>
      </c>
      <c r="D215" t="n">
        <v>14958</v>
      </c>
      <c r="E215" t="n">
        <v>1495</v>
      </c>
      <c r="F215" t="n">
        <v>0.1</v>
      </c>
      <c r="G215">
        <f>NOW()</f>
        <v/>
      </c>
    </row>
    <row r="216">
      <c r="A216" t="inlineStr">
        <is>
          <t>CUST27</t>
        </is>
      </c>
      <c r="B216" t="inlineStr">
        <is>
          <t>North</t>
        </is>
      </c>
      <c r="C216" t="inlineStr">
        <is>
          <t>Electronics</t>
        </is>
      </c>
      <c r="D216" t="n">
        <v>10997</v>
      </c>
      <c r="E216" t="n">
        <v>1099</v>
      </c>
      <c r="F216" t="n">
        <v>0.1</v>
      </c>
      <c r="G216">
        <f>NOW()</f>
        <v/>
      </c>
    </row>
    <row r="217">
      <c r="A217" t="inlineStr">
        <is>
          <t>CUST20</t>
        </is>
      </c>
      <c r="B217" t="inlineStr">
        <is>
          <t>West</t>
        </is>
      </c>
      <c r="C217" t="inlineStr">
        <is>
          <t>Furniture</t>
        </is>
      </c>
      <c r="D217" t="n">
        <v>4916</v>
      </c>
      <c r="E217" t="n">
        <v>737</v>
      </c>
      <c r="F217" t="n">
        <v>0.05</v>
      </c>
      <c r="G217">
        <f>NOW()</f>
        <v/>
      </c>
    </row>
    <row r="218">
      <c r="A218" t="inlineStr">
        <is>
          <t>CUST22</t>
        </is>
      </c>
      <c r="B218" t="inlineStr">
        <is>
          <t>North</t>
        </is>
      </c>
      <c r="C218" t="inlineStr">
        <is>
          <t>Furniture</t>
        </is>
      </c>
      <c r="D218" t="n">
        <v>7831</v>
      </c>
      <c r="E218" t="n">
        <v>391</v>
      </c>
      <c r="F218" t="n">
        <v>0.15</v>
      </c>
      <c r="G218">
        <f>NOW()</f>
        <v/>
      </c>
    </row>
    <row r="219">
      <c r="A219" t="inlineStr">
        <is>
          <t>CUST12</t>
        </is>
      </c>
      <c r="B219" t="inlineStr">
        <is>
          <t>West</t>
        </is>
      </c>
      <c r="C219" t="inlineStr">
        <is>
          <t>Appliances</t>
        </is>
      </c>
      <c r="D219" t="n">
        <v>7416</v>
      </c>
      <c r="E219" t="n">
        <v>370</v>
      </c>
      <c r="F219" t="n">
        <v>0.15</v>
      </c>
      <c r="G219">
        <f>NOW()</f>
        <v/>
      </c>
    </row>
    <row r="220">
      <c r="A220" t="inlineStr">
        <is>
          <t>CUST16</t>
        </is>
      </c>
      <c r="B220" t="inlineStr">
        <is>
          <t>North</t>
        </is>
      </c>
      <c r="C220" t="inlineStr">
        <is>
          <t>Electronics</t>
        </is>
      </c>
      <c r="D220" t="n">
        <v>3659</v>
      </c>
      <c r="E220" t="n">
        <v>548</v>
      </c>
      <c r="F220" t="n">
        <v>0.05</v>
      </c>
      <c r="G220">
        <f>NOW()</f>
        <v/>
      </c>
    </row>
    <row r="221">
      <c r="A221" t="inlineStr">
        <is>
          <t>CUST10</t>
        </is>
      </c>
      <c r="B221" t="inlineStr">
        <is>
          <t>East</t>
        </is>
      </c>
      <c r="C221" t="inlineStr">
        <is>
          <t>Appliances</t>
        </is>
      </c>
      <c r="D221" t="n">
        <v>13729</v>
      </c>
      <c r="E221" t="n">
        <v>686</v>
      </c>
      <c r="F221" t="n">
        <v>0.15</v>
      </c>
      <c r="G221">
        <f>NOW()</f>
        <v/>
      </c>
    </row>
    <row r="222">
      <c r="A222" t="inlineStr">
        <is>
          <t>CUST28</t>
        </is>
      </c>
      <c r="B222" t="inlineStr">
        <is>
          <t>South</t>
        </is>
      </c>
      <c r="C222" t="inlineStr">
        <is>
          <t>Appliances</t>
        </is>
      </c>
      <c r="D222" t="n">
        <v>18228</v>
      </c>
      <c r="E222" t="n">
        <v>911</v>
      </c>
      <c r="F222" t="n">
        <v>0.15</v>
      </c>
      <c r="G222">
        <f>NOW()</f>
        <v/>
      </c>
    </row>
    <row r="223">
      <c r="A223" t="inlineStr">
        <is>
          <t>CUST6</t>
        </is>
      </c>
      <c r="B223" t="inlineStr">
        <is>
          <t>East</t>
        </is>
      </c>
      <c r="C223" t="inlineStr">
        <is>
          <t>Furniture</t>
        </is>
      </c>
      <c r="D223" t="n">
        <v>19636</v>
      </c>
      <c r="E223" t="n">
        <v>981</v>
      </c>
      <c r="F223" t="n">
        <v>0.15</v>
      </c>
      <c r="G223">
        <f>NOW()</f>
        <v/>
      </c>
    </row>
    <row r="224">
      <c r="A224" t="inlineStr">
        <is>
          <t>CUST12</t>
        </is>
      </c>
      <c r="B224" t="inlineStr">
        <is>
          <t>South</t>
        </is>
      </c>
      <c r="C224" t="inlineStr">
        <is>
          <t>Furniture</t>
        </is>
      </c>
      <c r="D224" t="n">
        <v>4413</v>
      </c>
      <c r="E224" t="n">
        <v>220</v>
      </c>
      <c r="F224" t="n">
        <v>0.15</v>
      </c>
      <c r="G224">
        <f>NOW()</f>
        <v/>
      </c>
    </row>
    <row r="225">
      <c r="A225" t="inlineStr">
        <is>
          <t>CUST1</t>
        </is>
      </c>
      <c r="B225" t="inlineStr">
        <is>
          <t>South</t>
        </is>
      </c>
      <c r="C225" t="inlineStr">
        <is>
          <t>Furniture</t>
        </is>
      </c>
      <c r="D225" t="n">
        <v>12175</v>
      </c>
      <c r="E225" t="n">
        <v>608</v>
      </c>
      <c r="F225" t="n">
        <v>0.15</v>
      </c>
      <c r="G225">
        <f>NOW()</f>
        <v/>
      </c>
    </row>
    <row r="226">
      <c r="A226" t="inlineStr">
        <is>
          <t>CUST27</t>
        </is>
      </c>
      <c r="B226" t="inlineStr">
        <is>
          <t>West</t>
        </is>
      </c>
      <c r="C226" t="inlineStr">
        <is>
          <t>Appliances</t>
        </is>
      </c>
      <c r="D226" t="n">
        <v>1314</v>
      </c>
      <c r="E226" t="n">
        <v>197</v>
      </c>
      <c r="F226" t="n">
        <v>0.05</v>
      </c>
      <c r="G226">
        <f>NOW()</f>
        <v/>
      </c>
    </row>
    <row r="227">
      <c r="A227" t="inlineStr">
        <is>
          <t>CUST9</t>
        </is>
      </c>
      <c r="B227" t="inlineStr">
        <is>
          <t>West</t>
        </is>
      </c>
      <c r="C227" t="inlineStr">
        <is>
          <t>Appliances</t>
        </is>
      </c>
      <c r="D227" t="n">
        <v>17333</v>
      </c>
      <c r="E227" t="n">
        <v>1733</v>
      </c>
      <c r="F227" t="n">
        <v>0.1</v>
      </c>
      <c r="G227">
        <f>NOW()</f>
        <v/>
      </c>
    </row>
    <row r="228">
      <c r="A228" t="inlineStr">
        <is>
          <t>CUST7</t>
        </is>
      </c>
      <c r="B228" t="inlineStr">
        <is>
          <t>North</t>
        </is>
      </c>
      <c r="C228" t="inlineStr">
        <is>
          <t>Electronics</t>
        </is>
      </c>
      <c r="D228" t="n">
        <v>7880</v>
      </c>
      <c r="E228" t="n">
        <v>788</v>
      </c>
      <c r="F228" t="n">
        <v>0.1</v>
      </c>
      <c r="G228">
        <f>NOW()</f>
        <v/>
      </c>
    </row>
    <row r="229">
      <c r="A229" t="inlineStr">
        <is>
          <t>CUST29</t>
        </is>
      </c>
      <c r="B229" t="inlineStr">
        <is>
          <t>West</t>
        </is>
      </c>
      <c r="C229" t="inlineStr">
        <is>
          <t>Electronics</t>
        </is>
      </c>
      <c r="D229" t="n">
        <v>14144</v>
      </c>
      <c r="E229" t="n">
        <v>707</v>
      </c>
      <c r="F229" t="n">
        <v>0.15</v>
      </c>
      <c r="G229">
        <f>NOW()</f>
        <v/>
      </c>
    </row>
    <row r="230">
      <c r="A230" t="inlineStr">
        <is>
          <t>CUST25</t>
        </is>
      </c>
      <c r="B230" t="inlineStr">
        <is>
          <t>West</t>
        </is>
      </c>
      <c r="C230" t="inlineStr">
        <is>
          <t>Appliances</t>
        </is>
      </c>
      <c r="D230" t="n">
        <v>12277</v>
      </c>
      <c r="E230" t="n">
        <v>1841</v>
      </c>
      <c r="F230" t="n">
        <v>0.05</v>
      </c>
      <c r="G230">
        <f>NOW()</f>
        <v/>
      </c>
    </row>
    <row r="231">
      <c r="A231" t="inlineStr">
        <is>
          <t>CUST28</t>
        </is>
      </c>
      <c r="B231" t="inlineStr">
        <is>
          <t>West</t>
        </is>
      </c>
      <c r="C231" t="inlineStr">
        <is>
          <t>Appliances</t>
        </is>
      </c>
      <c r="D231" t="n">
        <v>15879</v>
      </c>
      <c r="E231" t="n">
        <v>2381</v>
      </c>
      <c r="F231" t="n">
        <v>0.05</v>
      </c>
      <c r="G231">
        <f>NOW()</f>
        <v/>
      </c>
    </row>
    <row r="232">
      <c r="A232" t="inlineStr">
        <is>
          <t>CUST17</t>
        </is>
      </c>
      <c r="B232" t="inlineStr">
        <is>
          <t>East</t>
        </is>
      </c>
      <c r="C232" t="inlineStr">
        <is>
          <t>Electronics</t>
        </is>
      </c>
      <c r="D232" t="n">
        <v>11907</v>
      </c>
      <c r="E232" t="n">
        <v>595</v>
      </c>
      <c r="F232" t="n">
        <v>0.15</v>
      </c>
      <c r="G232">
        <f>NOW()</f>
        <v/>
      </c>
    </row>
    <row r="233">
      <c r="A233" t="inlineStr">
        <is>
          <t>CUST30</t>
        </is>
      </c>
      <c r="B233" t="inlineStr">
        <is>
          <t>South</t>
        </is>
      </c>
      <c r="C233" t="inlineStr">
        <is>
          <t>Electronics</t>
        </is>
      </c>
      <c r="D233" t="n">
        <v>1706</v>
      </c>
      <c r="E233" t="n">
        <v>85</v>
      </c>
      <c r="F233" t="n">
        <v>0.15</v>
      </c>
      <c r="G233">
        <f>NOW()</f>
        <v/>
      </c>
    </row>
    <row r="234">
      <c r="A234" t="inlineStr">
        <is>
          <t>CUST25</t>
        </is>
      </c>
      <c r="B234" t="inlineStr">
        <is>
          <t>West</t>
        </is>
      </c>
      <c r="C234" t="inlineStr">
        <is>
          <t>Electronics</t>
        </is>
      </c>
      <c r="D234" t="n">
        <v>13033</v>
      </c>
      <c r="E234" t="n">
        <v>1954</v>
      </c>
      <c r="F234" t="n">
        <v>0.05</v>
      </c>
      <c r="G234">
        <f>NOW()</f>
        <v/>
      </c>
    </row>
    <row r="235">
      <c r="A235" t="inlineStr">
        <is>
          <t>CUST23</t>
        </is>
      </c>
      <c r="B235" t="inlineStr">
        <is>
          <t>South</t>
        </is>
      </c>
      <c r="C235" t="inlineStr">
        <is>
          <t>Appliances</t>
        </is>
      </c>
      <c r="D235" t="n">
        <v>18740</v>
      </c>
      <c r="E235" t="n">
        <v>937</v>
      </c>
      <c r="F235" t="n">
        <v>0.15</v>
      </c>
      <c r="G235">
        <f>NOW()</f>
        <v/>
      </c>
    </row>
    <row r="236">
      <c r="A236" t="inlineStr">
        <is>
          <t>CUST8</t>
        </is>
      </c>
      <c r="B236" t="inlineStr">
        <is>
          <t>South</t>
        </is>
      </c>
      <c r="C236" t="inlineStr">
        <is>
          <t>Appliances</t>
        </is>
      </c>
      <c r="D236" t="n">
        <v>16930</v>
      </c>
      <c r="E236" t="n">
        <v>1693</v>
      </c>
      <c r="F236" t="n">
        <v>0.1</v>
      </c>
      <c r="G236">
        <f>NOW()</f>
        <v/>
      </c>
    </row>
    <row r="237">
      <c r="A237" t="inlineStr">
        <is>
          <t>CUST23</t>
        </is>
      </c>
      <c r="B237" t="inlineStr">
        <is>
          <t>South</t>
        </is>
      </c>
      <c r="C237" t="inlineStr">
        <is>
          <t>Furniture</t>
        </is>
      </c>
      <c r="D237" t="n">
        <v>7768</v>
      </c>
      <c r="E237" t="n">
        <v>776</v>
      </c>
      <c r="F237" t="n">
        <v>0.1</v>
      </c>
      <c r="G237">
        <f>NOW()</f>
        <v/>
      </c>
    </row>
    <row r="238">
      <c r="A238" t="inlineStr">
        <is>
          <t>CUST11</t>
        </is>
      </c>
      <c r="B238" t="inlineStr">
        <is>
          <t>South</t>
        </is>
      </c>
      <c r="C238" t="inlineStr">
        <is>
          <t>Electronics</t>
        </is>
      </c>
      <c r="D238" t="n">
        <v>10600</v>
      </c>
      <c r="E238" t="n">
        <v>530</v>
      </c>
      <c r="F238" t="n">
        <v>0.15</v>
      </c>
      <c r="G238">
        <f>NOW()</f>
        <v/>
      </c>
    </row>
    <row r="239">
      <c r="A239" t="inlineStr">
        <is>
          <t>CUST1</t>
        </is>
      </c>
      <c r="B239" t="inlineStr">
        <is>
          <t>North</t>
        </is>
      </c>
      <c r="C239" t="inlineStr">
        <is>
          <t>Furniture</t>
        </is>
      </c>
      <c r="D239" t="n">
        <v>11398</v>
      </c>
      <c r="E239" t="n">
        <v>1709</v>
      </c>
      <c r="F239" t="n">
        <v>0.05</v>
      </c>
      <c r="G239">
        <f>NOW()</f>
        <v/>
      </c>
    </row>
    <row r="240">
      <c r="A240" t="inlineStr">
        <is>
          <t>CUST26</t>
        </is>
      </c>
      <c r="B240" t="inlineStr">
        <is>
          <t>West</t>
        </is>
      </c>
      <c r="C240" t="inlineStr">
        <is>
          <t>Furniture</t>
        </is>
      </c>
      <c r="D240" t="n">
        <v>4477</v>
      </c>
      <c r="E240" t="n">
        <v>447</v>
      </c>
      <c r="F240" t="n">
        <v>0.1</v>
      </c>
      <c r="G240">
        <f>NOW()</f>
        <v/>
      </c>
    </row>
    <row r="241">
      <c r="A241" t="inlineStr">
        <is>
          <t>CUST6</t>
        </is>
      </c>
      <c r="B241" t="inlineStr">
        <is>
          <t>South</t>
        </is>
      </c>
      <c r="C241" t="inlineStr">
        <is>
          <t>Appliances</t>
        </is>
      </c>
      <c r="D241" t="n">
        <v>8637</v>
      </c>
      <c r="E241" t="n">
        <v>431</v>
      </c>
      <c r="F241" t="n">
        <v>0.15</v>
      </c>
      <c r="G241">
        <f>NOW()</f>
        <v/>
      </c>
    </row>
    <row r="242">
      <c r="A242" t="inlineStr">
        <is>
          <t>CUST30</t>
        </is>
      </c>
      <c r="B242" t="inlineStr">
        <is>
          <t>North</t>
        </is>
      </c>
      <c r="C242" t="inlineStr">
        <is>
          <t>Furniture</t>
        </is>
      </c>
      <c r="D242" t="n">
        <v>5643</v>
      </c>
      <c r="E242" t="n">
        <v>282</v>
      </c>
      <c r="F242" t="n">
        <v>0.15</v>
      </c>
      <c r="G242">
        <f>NOW()</f>
        <v/>
      </c>
    </row>
    <row r="243">
      <c r="A243" t="inlineStr">
        <is>
          <t>CUST21</t>
        </is>
      </c>
      <c r="B243" t="inlineStr">
        <is>
          <t>West</t>
        </is>
      </c>
      <c r="C243" t="inlineStr">
        <is>
          <t>Furniture</t>
        </is>
      </c>
      <c r="D243" t="n">
        <v>15128</v>
      </c>
      <c r="E243" t="n">
        <v>1512</v>
      </c>
      <c r="F243" t="n">
        <v>0.1</v>
      </c>
      <c r="G243">
        <f>NOW()</f>
        <v/>
      </c>
    </row>
    <row r="244">
      <c r="A244" t="inlineStr">
        <is>
          <t>CUST23</t>
        </is>
      </c>
      <c r="B244" t="inlineStr">
        <is>
          <t>North</t>
        </is>
      </c>
      <c r="C244" t="inlineStr">
        <is>
          <t>Electronics</t>
        </is>
      </c>
      <c r="D244" t="n">
        <v>18467</v>
      </c>
      <c r="E244" t="n">
        <v>2770</v>
      </c>
      <c r="F244" t="n">
        <v>0.05</v>
      </c>
      <c r="G244">
        <f>NOW()</f>
        <v/>
      </c>
    </row>
    <row r="245">
      <c r="A245" t="inlineStr">
        <is>
          <t>CUST1</t>
        </is>
      </c>
      <c r="B245" t="inlineStr">
        <is>
          <t>East</t>
        </is>
      </c>
      <c r="C245" t="inlineStr">
        <is>
          <t>Furniture</t>
        </is>
      </c>
      <c r="D245" t="n">
        <v>8549</v>
      </c>
      <c r="E245" t="n">
        <v>854</v>
      </c>
      <c r="F245" t="n">
        <v>0.1</v>
      </c>
      <c r="G245">
        <f>NOW()</f>
        <v/>
      </c>
    </row>
    <row r="246">
      <c r="A246" t="inlineStr">
        <is>
          <t>CUST12</t>
        </is>
      </c>
      <c r="B246" t="inlineStr">
        <is>
          <t>East</t>
        </is>
      </c>
      <c r="C246" t="inlineStr">
        <is>
          <t>Appliances</t>
        </is>
      </c>
      <c r="D246" t="n">
        <v>7290</v>
      </c>
      <c r="E246" t="n">
        <v>1093</v>
      </c>
      <c r="F246" t="n">
        <v>0.05</v>
      </c>
      <c r="G246">
        <f>NOW()</f>
        <v/>
      </c>
    </row>
    <row r="247">
      <c r="A247" t="inlineStr">
        <is>
          <t>CUST22</t>
        </is>
      </c>
      <c r="B247" t="inlineStr">
        <is>
          <t>South</t>
        </is>
      </c>
      <c r="C247" t="inlineStr">
        <is>
          <t>Furniture</t>
        </is>
      </c>
      <c r="D247" t="n">
        <v>3449</v>
      </c>
      <c r="E247" t="n">
        <v>517</v>
      </c>
      <c r="F247" t="n">
        <v>0.05</v>
      </c>
      <c r="G247">
        <f>NOW()</f>
        <v/>
      </c>
    </row>
    <row r="248">
      <c r="A248" t="inlineStr">
        <is>
          <t>CUST26</t>
        </is>
      </c>
      <c r="B248" t="inlineStr">
        <is>
          <t>South</t>
        </is>
      </c>
      <c r="C248" t="inlineStr">
        <is>
          <t>Electronics</t>
        </is>
      </c>
      <c r="D248" t="n">
        <v>16042</v>
      </c>
      <c r="E248" t="n">
        <v>802</v>
      </c>
      <c r="F248" t="n">
        <v>0.15</v>
      </c>
      <c r="G248">
        <f>NOW()</f>
        <v/>
      </c>
    </row>
    <row r="249">
      <c r="A249" t="inlineStr">
        <is>
          <t>CUST24</t>
        </is>
      </c>
      <c r="B249" t="inlineStr">
        <is>
          <t>West</t>
        </is>
      </c>
      <c r="C249" t="inlineStr">
        <is>
          <t>Electronics</t>
        </is>
      </c>
      <c r="D249" t="n">
        <v>16257</v>
      </c>
      <c r="E249" t="n">
        <v>812</v>
      </c>
      <c r="F249" t="n">
        <v>0.15</v>
      </c>
      <c r="G249">
        <f>NOW()</f>
        <v/>
      </c>
    </row>
    <row r="250">
      <c r="A250" t="inlineStr">
        <is>
          <t>CUST2</t>
        </is>
      </c>
      <c r="B250" t="inlineStr">
        <is>
          <t>North</t>
        </is>
      </c>
      <c r="C250" t="inlineStr">
        <is>
          <t>Electronics</t>
        </is>
      </c>
      <c r="D250" t="n">
        <v>5730</v>
      </c>
      <c r="E250" t="n">
        <v>859</v>
      </c>
      <c r="F250" t="n">
        <v>0.05</v>
      </c>
      <c r="G250">
        <f>NOW()</f>
        <v/>
      </c>
    </row>
    <row r="251">
      <c r="A251" t="inlineStr">
        <is>
          <t>CUST24</t>
        </is>
      </c>
      <c r="B251" t="inlineStr">
        <is>
          <t>North</t>
        </is>
      </c>
      <c r="C251" t="inlineStr">
        <is>
          <t>Furniture</t>
        </is>
      </c>
      <c r="D251" t="n">
        <v>2545</v>
      </c>
      <c r="E251" t="n">
        <v>381</v>
      </c>
      <c r="F251" t="n">
        <v>0.05</v>
      </c>
      <c r="G251">
        <f>NOW()</f>
        <v/>
      </c>
    </row>
    <row r="252">
      <c r="A252" t="inlineStr">
        <is>
          <t>CUST9</t>
        </is>
      </c>
      <c r="B252" t="inlineStr">
        <is>
          <t>South</t>
        </is>
      </c>
      <c r="C252" t="inlineStr">
        <is>
          <t>Appliances</t>
        </is>
      </c>
      <c r="D252" t="n">
        <v>13134</v>
      </c>
      <c r="E252" t="n">
        <v>1970</v>
      </c>
      <c r="F252" t="n">
        <v>0.05</v>
      </c>
      <c r="G252">
        <f>NOW()</f>
        <v/>
      </c>
    </row>
    <row r="253">
      <c r="A253" t="inlineStr">
        <is>
          <t>CUST24</t>
        </is>
      </c>
      <c r="B253" t="inlineStr">
        <is>
          <t>West</t>
        </is>
      </c>
      <c r="C253" t="inlineStr">
        <is>
          <t>Electronics</t>
        </is>
      </c>
      <c r="D253" t="n">
        <v>12258</v>
      </c>
      <c r="E253" t="n">
        <v>1838</v>
      </c>
      <c r="F253" t="n">
        <v>0.05</v>
      </c>
      <c r="G253">
        <f>NOW()</f>
        <v/>
      </c>
    </row>
    <row r="254">
      <c r="A254" t="inlineStr">
        <is>
          <t>CUST25</t>
        </is>
      </c>
      <c r="B254" t="inlineStr">
        <is>
          <t>North</t>
        </is>
      </c>
      <c r="C254" t="inlineStr">
        <is>
          <t>Electronics</t>
        </is>
      </c>
      <c r="D254" t="n">
        <v>15061</v>
      </c>
      <c r="E254" t="n">
        <v>753</v>
      </c>
      <c r="F254" t="n">
        <v>0.15</v>
      </c>
      <c r="G254">
        <f>NOW()</f>
        <v/>
      </c>
    </row>
    <row r="255">
      <c r="A255" t="inlineStr">
        <is>
          <t>CUST23</t>
        </is>
      </c>
      <c r="B255" t="inlineStr">
        <is>
          <t>South</t>
        </is>
      </c>
      <c r="C255" t="inlineStr">
        <is>
          <t>Electronics</t>
        </is>
      </c>
      <c r="D255" t="n">
        <v>18017</v>
      </c>
      <c r="E255" t="n">
        <v>900</v>
      </c>
      <c r="F255" t="n">
        <v>0.15</v>
      </c>
      <c r="G255">
        <f>NOW()</f>
        <v/>
      </c>
    </row>
    <row r="256">
      <c r="A256" t="inlineStr">
        <is>
          <t>CUST28</t>
        </is>
      </c>
      <c r="B256" t="inlineStr">
        <is>
          <t>West</t>
        </is>
      </c>
      <c r="C256" t="inlineStr">
        <is>
          <t>Furniture</t>
        </is>
      </c>
      <c r="D256" t="n">
        <v>7660</v>
      </c>
      <c r="E256" t="n">
        <v>766</v>
      </c>
      <c r="F256" t="n">
        <v>0.1</v>
      </c>
      <c r="G256">
        <f>NOW()</f>
        <v/>
      </c>
    </row>
    <row r="257">
      <c r="A257" t="inlineStr">
        <is>
          <t>CUST14</t>
        </is>
      </c>
      <c r="B257" t="inlineStr">
        <is>
          <t>West</t>
        </is>
      </c>
      <c r="C257" t="inlineStr">
        <is>
          <t>Appliances</t>
        </is>
      </c>
      <c r="D257" t="n">
        <v>13520</v>
      </c>
      <c r="E257" t="n">
        <v>2028</v>
      </c>
      <c r="F257" t="n">
        <v>0.05</v>
      </c>
      <c r="G257">
        <f>NOW()</f>
        <v/>
      </c>
    </row>
    <row r="258">
      <c r="A258" t="inlineStr">
        <is>
          <t>CUST15</t>
        </is>
      </c>
      <c r="B258" t="inlineStr">
        <is>
          <t>North</t>
        </is>
      </c>
      <c r="C258" t="inlineStr">
        <is>
          <t>Appliances</t>
        </is>
      </c>
      <c r="D258" t="n">
        <v>8085</v>
      </c>
      <c r="E258" t="n">
        <v>808</v>
      </c>
      <c r="F258" t="n">
        <v>0.1</v>
      </c>
      <c r="G258">
        <f>NOW()</f>
        <v/>
      </c>
    </row>
    <row r="259">
      <c r="A259" t="inlineStr">
        <is>
          <t>CUST20</t>
        </is>
      </c>
      <c r="B259" t="inlineStr">
        <is>
          <t>South</t>
        </is>
      </c>
      <c r="C259" t="inlineStr">
        <is>
          <t>Electronics</t>
        </is>
      </c>
      <c r="D259" t="n">
        <v>5374</v>
      </c>
      <c r="E259" t="n">
        <v>806</v>
      </c>
      <c r="F259" t="n">
        <v>0.05</v>
      </c>
      <c r="G259">
        <f>NOW()</f>
        <v/>
      </c>
    </row>
    <row r="260">
      <c r="A260" t="inlineStr">
        <is>
          <t>CUST28</t>
        </is>
      </c>
      <c r="B260" t="inlineStr">
        <is>
          <t>West</t>
        </is>
      </c>
      <c r="C260" t="inlineStr">
        <is>
          <t>Electronics</t>
        </is>
      </c>
      <c r="D260" t="n">
        <v>17730</v>
      </c>
      <c r="E260" t="n">
        <v>1773</v>
      </c>
      <c r="F260" t="n">
        <v>0.1</v>
      </c>
      <c r="G260">
        <f>NOW()</f>
        <v/>
      </c>
    </row>
    <row r="261">
      <c r="A261" t="inlineStr">
        <is>
          <t>CUST1</t>
        </is>
      </c>
      <c r="B261" t="inlineStr">
        <is>
          <t>North</t>
        </is>
      </c>
      <c r="C261" t="inlineStr">
        <is>
          <t>Electronics</t>
        </is>
      </c>
      <c r="D261" t="n">
        <v>11802</v>
      </c>
      <c r="E261" t="n">
        <v>1180</v>
      </c>
      <c r="F261" t="n">
        <v>0.1</v>
      </c>
      <c r="G261">
        <f>NOW()</f>
        <v/>
      </c>
    </row>
    <row r="262">
      <c r="A262" t="inlineStr">
        <is>
          <t>CUST16</t>
        </is>
      </c>
      <c r="B262" t="inlineStr">
        <is>
          <t>North</t>
        </is>
      </c>
      <c r="C262" t="inlineStr">
        <is>
          <t>Furniture</t>
        </is>
      </c>
      <c r="D262" t="n">
        <v>1330</v>
      </c>
      <c r="E262" t="n">
        <v>199</v>
      </c>
      <c r="F262" t="n">
        <v>0.05</v>
      </c>
      <c r="G262">
        <f>NOW()</f>
        <v/>
      </c>
    </row>
    <row r="263">
      <c r="A263" t="inlineStr">
        <is>
          <t>CUST15</t>
        </is>
      </c>
      <c r="B263" t="inlineStr">
        <is>
          <t>South</t>
        </is>
      </c>
      <c r="C263" t="inlineStr">
        <is>
          <t>Furniture</t>
        </is>
      </c>
      <c r="D263" t="n">
        <v>1418</v>
      </c>
      <c r="E263" t="n">
        <v>141</v>
      </c>
      <c r="F263" t="n">
        <v>0.1</v>
      </c>
      <c r="G263">
        <f>NOW()</f>
        <v/>
      </c>
    </row>
    <row r="264">
      <c r="A264" t="inlineStr">
        <is>
          <t>CUST2</t>
        </is>
      </c>
      <c r="B264" t="inlineStr">
        <is>
          <t>North</t>
        </is>
      </c>
      <c r="C264" t="inlineStr">
        <is>
          <t>Electronics</t>
        </is>
      </c>
      <c r="D264" t="n">
        <v>17671</v>
      </c>
      <c r="E264" t="n">
        <v>883</v>
      </c>
      <c r="F264" t="n">
        <v>0.15</v>
      </c>
      <c r="G264">
        <f>NOW()</f>
        <v/>
      </c>
    </row>
    <row r="265">
      <c r="A265" t="inlineStr">
        <is>
          <t>CUST5</t>
        </is>
      </c>
      <c r="B265" t="inlineStr">
        <is>
          <t>South</t>
        </is>
      </c>
      <c r="C265" t="inlineStr">
        <is>
          <t>Appliances</t>
        </is>
      </c>
      <c r="D265" t="n">
        <v>13803</v>
      </c>
      <c r="E265" t="n">
        <v>2070</v>
      </c>
      <c r="F265" t="n">
        <v>0.05</v>
      </c>
      <c r="G265">
        <f>NOW()</f>
        <v/>
      </c>
    </row>
    <row r="266">
      <c r="A266" t="inlineStr">
        <is>
          <t>CUST20</t>
        </is>
      </c>
      <c r="B266" t="inlineStr">
        <is>
          <t>West</t>
        </is>
      </c>
      <c r="C266" t="inlineStr">
        <is>
          <t>Appliances</t>
        </is>
      </c>
      <c r="D266" t="n">
        <v>5507</v>
      </c>
      <c r="E266" t="n">
        <v>275</v>
      </c>
      <c r="F266" t="n">
        <v>0.15</v>
      </c>
      <c r="G266">
        <f>NOW()</f>
        <v/>
      </c>
    </row>
    <row r="267">
      <c r="A267" t="inlineStr">
        <is>
          <t>CUST28</t>
        </is>
      </c>
      <c r="B267" t="inlineStr">
        <is>
          <t>South</t>
        </is>
      </c>
      <c r="C267" t="inlineStr">
        <is>
          <t>Appliances</t>
        </is>
      </c>
      <c r="D267" t="n">
        <v>9354</v>
      </c>
      <c r="E267" t="n">
        <v>935</v>
      </c>
      <c r="F267" t="n">
        <v>0.1</v>
      </c>
      <c r="G267">
        <f>NOW()</f>
        <v/>
      </c>
    </row>
    <row r="268">
      <c r="A268" t="inlineStr">
        <is>
          <t>CUST16</t>
        </is>
      </c>
      <c r="B268" t="inlineStr">
        <is>
          <t>East</t>
        </is>
      </c>
      <c r="C268" t="inlineStr">
        <is>
          <t>Appliances</t>
        </is>
      </c>
      <c r="D268" t="n">
        <v>13098</v>
      </c>
      <c r="E268" t="n">
        <v>1309</v>
      </c>
      <c r="F268" t="n">
        <v>0.1</v>
      </c>
      <c r="G268">
        <f>NOW()</f>
        <v/>
      </c>
    </row>
    <row r="269">
      <c r="A269" t="inlineStr">
        <is>
          <t>CUST7</t>
        </is>
      </c>
      <c r="B269" t="inlineStr">
        <is>
          <t>West</t>
        </is>
      </c>
      <c r="C269" t="inlineStr">
        <is>
          <t>Electronics</t>
        </is>
      </c>
      <c r="D269" t="n">
        <v>5158</v>
      </c>
      <c r="E269" t="n">
        <v>257</v>
      </c>
      <c r="F269" t="n">
        <v>0.15</v>
      </c>
      <c r="G269">
        <f>NOW()</f>
        <v/>
      </c>
    </row>
    <row r="270">
      <c r="A270" t="inlineStr">
        <is>
          <t>CUST4</t>
        </is>
      </c>
      <c r="B270" t="inlineStr">
        <is>
          <t>North</t>
        </is>
      </c>
      <c r="C270" t="inlineStr">
        <is>
          <t>Electronics</t>
        </is>
      </c>
      <c r="D270" t="n">
        <v>3594</v>
      </c>
      <c r="E270" t="n">
        <v>359</v>
      </c>
      <c r="F270" t="n">
        <v>0.1</v>
      </c>
      <c r="G270">
        <f>NOW()</f>
        <v/>
      </c>
    </row>
    <row r="271">
      <c r="A271" t="inlineStr">
        <is>
          <t>CUST27</t>
        </is>
      </c>
      <c r="B271" t="inlineStr">
        <is>
          <t>West</t>
        </is>
      </c>
      <c r="C271" t="inlineStr">
        <is>
          <t>Appliances</t>
        </is>
      </c>
      <c r="D271" t="n">
        <v>19236</v>
      </c>
      <c r="E271" t="n">
        <v>2885</v>
      </c>
      <c r="F271" t="n">
        <v>0.05</v>
      </c>
      <c r="G271">
        <f>NOW()</f>
        <v/>
      </c>
    </row>
    <row r="272">
      <c r="A272" t="inlineStr">
        <is>
          <t>CUST27</t>
        </is>
      </c>
      <c r="B272" t="inlineStr">
        <is>
          <t>South</t>
        </is>
      </c>
      <c r="C272" t="inlineStr">
        <is>
          <t>Appliances</t>
        </is>
      </c>
      <c r="D272" t="n">
        <v>1873</v>
      </c>
      <c r="E272" t="n">
        <v>93</v>
      </c>
      <c r="F272" t="n">
        <v>0.15</v>
      </c>
      <c r="G272">
        <f>NOW()</f>
        <v/>
      </c>
    </row>
    <row r="273">
      <c r="A273" t="inlineStr">
        <is>
          <t>CUST30</t>
        </is>
      </c>
      <c r="B273" t="inlineStr">
        <is>
          <t>East</t>
        </is>
      </c>
      <c r="C273" t="inlineStr">
        <is>
          <t>Electronics</t>
        </is>
      </c>
      <c r="D273" t="n">
        <v>15450</v>
      </c>
      <c r="E273" t="n">
        <v>772</v>
      </c>
      <c r="F273" t="n">
        <v>0.15</v>
      </c>
      <c r="G273">
        <f>NOW()</f>
        <v/>
      </c>
    </row>
    <row r="274">
      <c r="A274" t="inlineStr">
        <is>
          <t>CUST7</t>
        </is>
      </c>
      <c r="B274" t="inlineStr">
        <is>
          <t>West</t>
        </is>
      </c>
      <c r="C274" t="inlineStr">
        <is>
          <t>Electronics</t>
        </is>
      </c>
      <c r="D274" t="n">
        <v>3368</v>
      </c>
      <c r="E274" t="n">
        <v>336</v>
      </c>
      <c r="F274" t="n">
        <v>0.1</v>
      </c>
      <c r="G274">
        <f>NOW()</f>
        <v/>
      </c>
    </row>
    <row r="275">
      <c r="A275" t="inlineStr">
        <is>
          <t>CUST27</t>
        </is>
      </c>
      <c r="B275" t="inlineStr">
        <is>
          <t>East</t>
        </is>
      </c>
      <c r="C275" t="inlineStr">
        <is>
          <t>Furniture</t>
        </is>
      </c>
      <c r="D275" t="n">
        <v>16974</v>
      </c>
      <c r="E275" t="n">
        <v>848</v>
      </c>
      <c r="F275" t="n">
        <v>0.15</v>
      </c>
      <c r="G275">
        <f>NOW()</f>
        <v/>
      </c>
    </row>
    <row r="276">
      <c r="A276" t="inlineStr">
        <is>
          <t>CUST19</t>
        </is>
      </c>
      <c r="B276" t="inlineStr">
        <is>
          <t>East</t>
        </is>
      </c>
      <c r="C276" t="inlineStr">
        <is>
          <t>Furniture</t>
        </is>
      </c>
      <c r="D276" t="n">
        <v>15556</v>
      </c>
      <c r="E276" t="n">
        <v>2333</v>
      </c>
      <c r="F276" t="n">
        <v>0.05</v>
      </c>
      <c r="G276">
        <f>NOW()</f>
        <v/>
      </c>
    </row>
    <row r="277">
      <c r="A277" t="inlineStr">
        <is>
          <t>CUST20</t>
        </is>
      </c>
      <c r="B277" t="inlineStr">
        <is>
          <t>West</t>
        </is>
      </c>
      <c r="C277" t="inlineStr">
        <is>
          <t>Electronics</t>
        </is>
      </c>
      <c r="D277" t="n">
        <v>12170</v>
      </c>
      <c r="E277" t="n">
        <v>1217</v>
      </c>
      <c r="F277" t="n">
        <v>0.1</v>
      </c>
      <c r="G277">
        <f>NOW()</f>
        <v/>
      </c>
    </row>
    <row r="278">
      <c r="A278" t="inlineStr">
        <is>
          <t>CUST14</t>
        </is>
      </c>
      <c r="B278" t="inlineStr">
        <is>
          <t>West</t>
        </is>
      </c>
      <c r="C278" t="inlineStr">
        <is>
          <t>Furniture</t>
        </is>
      </c>
      <c r="D278" t="n">
        <v>6850</v>
      </c>
      <c r="E278" t="n">
        <v>685</v>
      </c>
      <c r="F278" t="n">
        <v>0.1</v>
      </c>
      <c r="G278">
        <f>NOW()</f>
        <v/>
      </c>
    </row>
    <row r="279">
      <c r="A279" t="inlineStr">
        <is>
          <t>CUST22</t>
        </is>
      </c>
      <c r="B279" t="inlineStr">
        <is>
          <t>East</t>
        </is>
      </c>
      <c r="C279" t="inlineStr">
        <is>
          <t>Furniture</t>
        </is>
      </c>
      <c r="D279" t="n">
        <v>8168</v>
      </c>
      <c r="E279" t="n">
        <v>408</v>
      </c>
      <c r="F279" t="n">
        <v>0.15</v>
      </c>
      <c r="G279">
        <f>NOW()</f>
        <v/>
      </c>
    </row>
    <row r="280">
      <c r="A280" t="inlineStr">
        <is>
          <t>CUST30</t>
        </is>
      </c>
      <c r="B280" t="inlineStr">
        <is>
          <t>North</t>
        </is>
      </c>
      <c r="C280" t="inlineStr">
        <is>
          <t>Appliances</t>
        </is>
      </c>
      <c r="D280" t="n">
        <v>6071</v>
      </c>
      <c r="E280" t="n">
        <v>607</v>
      </c>
      <c r="F280" t="n">
        <v>0.1</v>
      </c>
      <c r="G280">
        <f>NOW()</f>
        <v/>
      </c>
    </row>
    <row r="281">
      <c r="A281" t="inlineStr">
        <is>
          <t>CUST30</t>
        </is>
      </c>
      <c r="B281" t="inlineStr">
        <is>
          <t>East</t>
        </is>
      </c>
      <c r="C281" t="inlineStr">
        <is>
          <t>Furniture</t>
        </is>
      </c>
      <c r="D281" t="n">
        <v>16323</v>
      </c>
      <c r="E281" t="n">
        <v>2448</v>
      </c>
      <c r="F281" t="n">
        <v>0.05</v>
      </c>
      <c r="G281">
        <f>NOW()</f>
        <v/>
      </c>
    </row>
    <row r="282">
      <c r="A282" t="inlineStr">
        <is>
          <t>CUST10</t>
        </is>
      </c>
      <c r="B282" t="inlineStr">
        <is>
          <t>East</t>
        </is>
      </c>
      <c r="C282" t="inlineStr">
        <is>
          <t>Electronics</t>
        </is>
      </c>
      <c r="D282" t="n">
        <v>13217</v>
      </c>
      <c r="E282" t="n">
        <v>660</v>
      </c>
      <c r="F282" t="n">
        <v>0.15</v>
      </c>
      <c r="G282">
        <f>NOW()</f>
        <v/>
      </c>
    </row>
    <row r="283">
      <c r="A283" t="inlineStr">
        <is>
          <t>CUST25</t>
        </is>
      </c>
      <c r="B283" t="inlineStr">
        <is>
          <t>East</t>
        </is>
      </c>
      <c r="C283" t="inlineStr">
        <is>
          <t>Electronics</t>
        </is>
      </c>
      <c r="D283" t="n">
        <v>16007</v>
      </c>
      <c r="E283" t="n">
        <v>2401</v>
      </c>
      <c r="F283" t="n">
        <v>0.05</v>
      </c>
      <c r="G283">
        <f>NOW()</f>
        <v/>
      </c>
    </row>
    <row r="284">
      <c r="A284" t="inlineStr">
        <is>
          <t>CUST19</t>
        </is>
      </c>
      <c r="B284" t="inlineStr">
        <is>
          <t>East</t>
        </is>
      </c>
      <c r="C284" t="inlineStr">
        <is>
          <t>Appliances</t>
        </is>
      </c>
      <c r="D284" t="n">
        <v>11202</v>
      </c>
      <c r="E284" t="n">
        <v>1120</v>
      </c>
      <c r="F284" t="n">
        <v>0.1</v>
      </c>
      <c r="G284">
        <f>NOW()</f>
        <v/>
      </c>
    </row>
    <row r="285">
      <c r="A285" t="inlineStr">
        <is>
          <t>CUST13</t>
        </is>
      </c>
      <c r="B285" t="inlineStr">
        <is>
          <t>North</t>
        </is>
      </c>
      <c r="C285" t="inlineStr">
        <is>
          <t>Appliances</t>
        </is>
      </c>
      <c r="D285" t="n">
        <v>4753</v>
      </c>
      <c r="E285" t="n">
        <v>712</v>
      </c>
      <c r="F285" t="n">
        <v>0.05</v>
      </c>
      <c r="G285">
        <f>NOW()</f>
        <v/>
      </c>
    </row>
    <row r="286">
      <c r="A286" t="inlineStr">
        <is>
          <t>CUST17</t>
        </is>
      </c>
      <c r="B286" t="inlineStr">
        <is>
          <t>North</t>
        </is>
      </c>
      <c r="C286" t="inlineStr">
        <is>
          <t>Furniture</t>
        </is>
      </c>
      <c r="D286" t="n">
        <v>11209</v>
      </c>
      <c r="E286" t="n">
        <v>1681</v>
      </c>
      <c r="F286" t="n">
        <v>0.05</v>
      </c>
      <c r="G286">
        <f>NOW()</f>
        <v/>
      </c>
    </row>
    <row r="287">
      <c r="A287" t="inlineStr">
        <is>
          <t>CUST26</t>
        </is>
      </c>
      <c r="B287" t="inlineStr">
        <is>
          <t>North</t>
        </is>
      </c>
      <c r="C287" t="inlineStr">
        <is>
          <t>Appliances</t>
        </is>
      </c>
      <c r="D287" t="n">
        <v>17252</v>
      </c>
      <c r="E287" t="n">
        <v>862</v>
      </c>
      <c r="F287" t="n">
        <v>0.15</v>
      </c>
      <c r="G287">
        <f>NOW()</f>
        <v/>
      </c>
    </row>
    <row r="288">
      <c r="A288" t="inlineStr">
        <is>
          <t>CUST27</t>
        </is>
      </c>
      <c r="B288" t="inlineStr">
        <is>
          <t>South</t>
        </is>
      </c>
      <c r="C288" t="inlineStr">
        <is>
          <t>Appliances</t>
        </is>
      </c>
      <c r="D288" t="n">
        <v>15724</v>
      </c>
      <c r="E288" t="n">
        <v>2358</v>
      </c>
      <c r="F288" t="n">
        <v>0.05</v>
      </c>
      <c r="G288">
        <f>NOW()</f>
        <v/>
      </c>
    </row>
    <row r="289">
      <c r="A289" t="inlineStr">
        <is>
          <t>CUST25</t>
        </is>
      </c>
      <c r="B289" t="inlineStr">
        <is>
          <t>North</t>
        </is>
      </c>
      <c r="C289" t="inlineStr">
        <is>
          <t>Appliances</t>
        </is>
      </c>
      <c r="D289" t="n">
        <v>12627</v>
      </c>
      <c r="E289" t="n">
        <v>1894</v>
      </c>
      <c r="F289" t="n">
        <v>0.05</v>
      </c>
      <c r="G289">
        <f>NOW()</f>
        <v/>
      </c>
    </row>
    <row r="290">
      <c r="A290" t="inlineStr">
        <is>
          <t>CUST17</t>
        </is>
      </c>
      <c r="B290" t="inlineStr">
        <is>
          <t>East</t>
        </is>
      </c>
      <c r="C290" t="inlineStr">
        <is>
          <t>Appliances</t>
        </is>
      </c>
      <c r="D290" t="n">
        <v>11449</v>
      </c>
      <c r="E290" t="n">
        <v>1717</v>
      </c>
      <c r="F290" t="n">
        <v>0.05</v>
      </c>
      <c r="G290">
        <f>NOW()</f>
        <v/>
      </c>
    </row>
    <row r="291">
      <c r="A291" t="inlineStr">
        <is>
          <t>CUST23</t>
        </is>
      </c>
      <c r="B291" t="inlineStr">
        <is>
          <t>North</t>
        </is>
      </c>
      <c r="C291" t="inlineStr">
        <is>
          <t>Appliances</t>
        </is>
      </c>
      <c r="D291" t="n">
        <v>19442</v>
      </c>
      <c r="E291" t="n">
        <v>1944</v>
      </c>
      <c r="F291" t="n">
        <v>0.1</v>
      </c>
      <c r="G291">
        <f>NOW()</f>
        <v/>
      </c>
    </row>
    <row r="292">
      <c r="A292" t="inlineStr">
        <is>
          <t>CUST3</t>
        </is>
      </c>
      <c r="B292" t="inlineStr">
        <is>
          <t>South</t>
        </is>
      </c>
      <c r="C292" t="inlineStr">
        <is>
          <t>Electronics</t>
        </is>
      </c>
      <c r="D292" t="n">
        <v>12468</v>
      </c>
      <c r="E292" t="n">
        <v>623</v>
      </c>
      <c r="F292" t="n">
        <v>0.15</v>
      </c>
      <c r="G292">
        <f>NOW()</f>
        <v/>
      </c>
    </row>
    <row r="293">
      <c r="A293" t="inlineStr">
        <is>
          <t>CUST19</t>
        </is>
      </c>
      <c r="B293" t="inlineStr">
        <is>
          <t>North</t>
        </is>
      </c>
      <c r="C293" t="inlineStr">
        <is>
          <t>Appliances</t>
        </is>
      </c>
      <c r="D293" t="n">
        <v>19003</v>
      </c>
      <c r="E293" t="n">
        <v>1900</v>
      </c>
      <c r="F293" t="n">
        <v>0.1</v>
      </c>
      <c r="G293">
        <f>NOW()</f>
        <v/>
      </c>
    </row>
    <row r="294">
      <c r="A294" t="inlineStr">
        <is>
          <t>CUST10</t>
        </is>
      </c>
      <c r="B294" t="inlineStr">
        <is>
          <t>West</t>
        </is>
      </c>
      <c r="C294" t="inlineStr">
        <is>
          <t>Electronics</t>
        </is>
      </c>
      <c r="D294" t="n">
        <v>16135</v>
      </c>
      <c r="E294" t="n">
        <v>2420</v>
      </c>
      <c r="F294" t="n">
        <v>0.05</v>
      </c>
      <c r="G294">
        <f>NOW()</f>
        <v/>
      </c>
    </row>
    <row r="295">
      <c r="A295" t="inlineStr">
        <is>
          <t>CUST18</t>
        </is>
      </c>
      <c r="B295" t="inlineStr">
        <is>
          <t>East</t>
        </is>
      </c>
      <c r="C295" t="inlineStr">
        <is>
          <t>Electronics</t>
        </is>
      </c>
      <c r="D295" t="n">
        <v>14530</v>
      </c>
      <c r="E295" t="n">
        <v>1453</v>
      </c>
      <c r="F295" t="n">
        <v>0.1</v>
      </c>
      <c r="G295">
        <f>NOW()</f>
        <v/>
      </c>
    </row>
    <row r="296">
      <c r="A296" t="inlineStr">
        <is>
          <t>CUST3</t>
        </is>
      </c>
      <c r="B296" t="inlineStr">
        <is>
          <t>East</t>
        </is>
      </c>
      <c r="C296" t="inlineStr">
        <is>
          <t>Electronics</t>
        </is>
      </c>
      <c r="D296" t="n">
        <v>16587</v>
      </c>
      <c r="E296" t="n">
        <v>1658</v>
      </c>
      <c r="F296" t="n">
        <v>0.1</v>
      </c>
      <c r="G296">
        <f>NOW()</f>
        <v/>
      </c>
    </row>
    <row r="297">
      <c r="A297" t="inlineStr">
        <is>
          <t>CUST17</t>
        </is>
      </c>
      <c r="B297" t="inlineStr">
        <is>
          <t>East</t>
        </is>
      </c>
      <c r="C297" t="inlineStr">
        <is>
          <t>Electronics</t>
        </is>
      </c>
      <c r="D297" t="n">
        <v>5816</v>
      </c>
      <c r="E297" t="n">
        <v>581</v>
      </c>
      <c r="F297" t="n">
        <v>0.1</v>
      </c>
      <c r="G297">
        <f>NOW()</f>
        <v/>
      </c>
    </row>
    <row r="298">
      <c r="A298" t="inlineStr">
        <is>
          <t>CUST21</t>
        </is>
      </c>
      <c r="B298" t="inlineStr">
        <is>
          <t>West</t>
        </is>
      </c>
      <c r="C298" t="inlineStr">
        <is>
          <t>Furniture</t>
        </is>
      </c>
      <c r="D298" t="n">
        <v>1797</v>
      </c>
      <c r="E298" t="n">
        <v>179</v>
      </c>
      <c r="F298" t="n">
        <v>0.1</v>
      </c>
      <c r="G298">
        <f>NOW()</f>
        <v/>
      </c>
    </row>
    <row r="299">
      <c r="A299" t="inlineStr">
        <is>
          <t>CUST16</t>
        </is>
      </c>
      <c r="B299" t="inlineStr">
        <is>
          <t>North</t>
        </is>
      </c>
      <c r="C299" t="inlineStr">
        <is>
          <t>Electronics</t>
        </is>
      </c>
      <c r="D299" t="n">
        <v>13340</v>
      </c>
      <c r="E299" t="n">
        <v>1334</v>
      </c>
      <c r="F299" t="n">
        <v>0.1</v>
      </c>
      <c r="G299">
        <f>NOW()</f>
        <v/>
      </c>
    </row>
    <row r="300">
      <c r="A300" t="inlineStr">
        <is>
          <t>CUST16</t>
        </is>
      </c>
      <c r="B300" t="inlineStr">
        <is>
          <t>North</t>
        </is>
      </c>
      <c r="C300" t="inlineStr">
        <is>
          <t>Electronics</t>
        </is>
      </c>
      <c r="D300" t="n">
        <v>4751</v>
      </c>
      <c r="E300" t="n">
        <v>237</v>
      </c>
      <c r="F300" t="n">
        <v>0.15</v>
      </c>
      <c r="G300">
        <f>NOW()</f>
        <v/>
      </c>
    </row>
    <row r="301">
      <c r="A301" t="inlineStr">
        <is>
          <t>CUST16</t>
        </is>
      </c>
      <c r="B301" t="inlineStr">
        <is>
          <t>South</t>
        </is>
      </c>
      <c r="C301" t="inlineStr">
        <is>
          <t>Furniture</t>
        </is>
      </c>
      <c r="D301" t="n">
        <v>4059</v>
      </c>
      <c r="E301" t="n">
        <v>608</v>
      </c>
      <c r="F301" t="n">
        <v>0.05</v>
      </c>
      <c r="G301">
        <f>NOW()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TotalPurchase</t>
        </is>
      </c>
    </row>
    <row r="2">
      <c r="A2" t="inlineStr">
        <is>
          <t>CUST1</t>
        </is>
      </c>
      <c r="B2">
        <f>SUMIF(SalesData!A:A,A2,SalesData!D:D)</f>
        <v/>
      </c>
    </row>
    <row r="3">
      <c r="A3" t="inlineStr">
        <is>
          <t>CUST2</t>
        </is>
      </c>
      <c r="B3">
        <f>SUMIF(SalesData!A:A,A3,SalesData!D:D)</f>
        <v/>
      </c>
    </row>
    <row r="4">
      <c r="A4" t="inlineStr">
        <is>
          <t>CUST3</t>
        </is>
      </c>
      <c r="B4">
        <f>SUMIF(SalesData!A:A,A4,SalesData!D:D)</f>
        <v/>
      </c>
    </row>
    <row r="5">
      <c r="A5" t="inlineStr">
        <is>
          <t>CUST4</t>
        </is>
      </c>
      <c r="B5">
        <f>SUMIF(SalesData!A:A,A5,SalesData!D:D)</f>
        <v/>
      </c>
    </row>
    <row r="6">
      <c r="A6" t="inlineStr">
        <is>
          <t>CUST5</t>
        </is>
      </c>
      <c r="B6">
        <f>SUMIF(SalesData!A:A,A6,SalesData!D:D)</f>
        <v/>
      </c>
    </row>
    <row r="7">
      <c r="A7" t="inlineStr">
        <is>
          <t>CUST6</t>
        </is>
      </c>
      <c r="B7">
        <f>SUMIF(SalesData!A:A,A7,SalesData!D:D)</f>
        <v/>
      </c>
    </row>
    <row r="8">
      <c r="A8" t="inlineStr">
        <is>
          <t>CUST7</t>
        </is>
      </c>
      <c r="B8">
        <f>SUMIF(SalesData!A:A,A8,SalesData!D:D)</f>
        <v/>
      </c>
    </row>
    <row r="9">
      <c r="A9" t="inlineStr">
        <is>
          <t>CUST8</t>
        </is>
      </c>
      <c r="B9">
        <f>SUMIF(SalesData!A:A,A9,SalesData!D:D)</f>
        <v/>
      </c>
    </row>
    <row r="10">
      <c r="A10" t="inlineStr">
        <is>
          <t>CUST9</t>
        </is>
      </c>
      <c r="B10">
        <f>SUMIF(SalesData!A:A,A10,SalesData!D:D)</f>
        <v/>
      </c>
    </row>
    <row r="11">
      <c r="A11" t="inlineStr">
        <is>
          <t>CUST10</t>
        </is>
      </c>
      <c r="B11">
        <f>SUMIF(SalesData!A:A,A11,SalesData!D:D)</f>
        <v/>
      </c>
    </row>
    <row r="12">
      <c r="A12" t="inlineStr">
        <is>
          <t>CUST11</t>
        </is>
      </c>
      <c r="B12">
        <f>SUMIF(SalesData!A:A,A12,SalesData!D:D)</f>
        <v/>
      </c>
    </row>
    <row r="13">
      <c r="A13" t="inlineStr">
        <is>
          <t>CUST12</t>
        </is>
      </c>
      <c r="B13">
        <f>SUMIF(SalesData!A:A,A13,SalesData!D:D)</f>
        <v/>
      </c>
    </row>
    <row r="14">
      <c r="A14" t="inlineStr">
        <is>
          <t>CUST13</t>
        </is>
      </c>
      <c r="B14">
        <f>SUMIF(SalesData!A:A,A14,SalesData!D:D)</f>
        <v/>
      </c>
    </row>
    <row r="15">
      <c r="A15" t="inlineStr">
        <is>
          <t>CUST14</t>
        </is>
      </c>
      <c r="B15">
        <f>SUMIF(SalesData!A:A,A15,SalesData!D:D)</f>
        <v/>
      </c>
    </row>
    <row r="16">
      <c r="A16" t="inlineStr">
        <is>
          <t>CUST15</t>
        </is>
      </c>
      <c r="B16">
        <f>SUMIF(SalesData!A:A,A16,SalesData!D:D)</f>
        <v/>
      </c>
    </row>
    <row r="17">
      <c r="A17" t="inlineStr">
        <is>
          <t>CUST16</t>
        </is>
      </c>
      <c r="B17">
        <f>SUMIF(SalesData!A:A,A17,SalesData!D:D)</f>
        <v/>
      </c>
    </row>
    <row r="18">
      <c r="A18" t="inlineStr">
        <is>
          <t>CUST17</t>
        </is>
      </c>
      <c r="B18">
        <f>SUMIF(SalesData!A:A,A18,SalesData!D:D)</f>
        <v/>
      </c>
    </row>
    <row r="19">
      <c r="A19" t="inlineStr">
        <is>
          <t>CUST18</t>
        </is>
      </c>
      <c r="B19">
        <f>SUMIF(SalesData!A:A,A19,SalesData!D:D)</f>
        <v/>
      </c>
    </row>
    <row r="20">
      <c r="A20" t="inlineStr">
        <is>
          <t>CUST19</t>
        </is>
      </c>
      <c r="B20">
        <f>SUMIF(SalesData!A:A,A20,SalesData!D:D)</f>
        <v/>
      </c>
    </row>
    <row r="21">
      <c r="A21" t="inlineStr">
        <is>
          <t>CUST20</t>
        </is>
      </c>
      <c r="B21">
        <f>SUMIF(SalesData!A:A,A21,SalesData!D:D)</f>
        <v/>
      </c>
    </row>
    <row r="22">
      <c r="A22" t="inlineStr">
        <is>
          <t>CUST21</t>
        </is>
      </c>
      <c r="B22">
        <f>SUMIF(SalesData!A:A,A22,SalesData!D:D)</f>
        <v/>
      </c>
    </row>
    <row r="23">
      <c r="A23" t="inlineStr">
        <is>
          <t>CUST22</t>
        </is>
      </c>
      <c r="B23">
        <f>SUMIF(SalesData!A:A,A23,SalesData!D:D)</f>
        <v/>
      </c>
    </row>
    <row r="24">
      <c r="A24" t="inlineStr">
        <is>
          <t>CUST23</t>
        </is>
      </c>
      <c r="B24">
        <f>SUMIF(SalesData!A:A,A24,SalesData!D:D)</f>
        <v/>
      </c>
    </row>
    <row r="25">
      <c r="A25" t="inlineStr">
        <is>
          <t>CUST24</t>
        </is>
      </c>
      <c r="B25">
        <f>SUMIF(SalesData!A:A,A25,SalesData!D:D)</f>
        <v/>
      </c>
    </row>
    <row r="26">
      <c r="A26" t="inlineStr">
        <is>
          <t>CUST25</t>
        </is>
      </c>
      <c r="B26">
        <f>SUMIF(SalesData!A:A,A26,SalesData!D:D)</f>
        <v/>
      </c>
    </row>
    <row r="27">
      <c r="A27" t="inlineStr">
        <is>
          <t>CUST26</t>
        </is>
      </c>
      <c r="B27">
        <f>SUMIF(SalesData!A:A,A27,SalesData!D:D)</f>
        <v/>
      </c>
    </row>
    <row r="28">
      <c r="A28" t="inlineStr">
        <is>
          <t>CUST27</t>
        </is>
      </c>
      <c r="B28">
        <f>SUMIF(SalesData!A:A,A28,SalesData!D:D)</f>
        <v/>
      </c>
    </row>
    <row r="29">
      <c r="A29" t="inlineStr">
        <is>
          <t>CUST28</t>
        </is>
      </c>
      <c r="B29">
        <f>SUMIF(SalesData!A:A,A29,SalesData!D:D)</f>
        <v/>
      </c>
    </row>
    <row r="30">
      <c r="A30" t="inlineStr">
        <is>
          <t>CUST29</t>
        </is>
      </c>
      <c r="B30">
        <f>SUMIF(SalesData!A:A,A30,SalesData!D:D)</f>
        <v/>
      </c>
    </row>
    <row r="31">
      <c r="A31" t="inlineStr">
        <is>
          <t>CUST30</t>
        </is>
      </c>
      <c r="B31">
        <f>SUMIF(SalesData!A:A,A31,SalesData!D:D)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Growth</t>
        </is>
      </c>
    </row>
    <row r="2">
      <c r="A2" t="inlineStr">
        <is>
          <t>Jan</t>
        </is>
      </c>
      <c r="B2" t="n">
        <v>36697</v>
      </c>
      <c r="C2">
        <f>IF(B2&gt;B1,"↑","↓")</f>
        <v/>
      </c>
    </row>
    <row r="3">
      <c r="A3" t="inlineStr">
        <is>
          <t>Feb</t>
        </is>
      </c>
      <c r="B3" t="n">
        <v>77726</v>
      </c>
      <c r="C3">
        <f>IF(B3&gt;B2,"↑","↓")</f>
        <v/>
      </c>
    </row>
    <row r="4">
      <c r="A4" t="inlineStr">
        <is>
          <t>Mar</t>
        </is>
      </c>
      <c r="B4" t="n">
        <v>35387</v>
      </c>
      <c r="C4">
        <f>IF(B4&gt;B3,"↑","↓")</f>
        <v/>
      </c>
    </row>
    <row r="5">
      <c r="A5" t="inlineStr">
        <is>
          <t>Apr</t>
        </is>
      </c>
      <c r="B5" t="n">
        <v>24776</v>
      </c>
      <c r="C5">
        <f>IF(B5&gt;B4,"↑","↓")</f>
        <v/>
      </c>
    </row>
    <row r="6">
      <c r="A6" t="inlineStr">
        <is>
          <t>May</t>
        </is>
      </c>
      <c r="B6" t="n">
        <v>53269</v>
      </c>
      <c r="C6">
        <f>IF(B6&gt;B5,"↑","↓")</f>
        <v/>
      </c>
    </row>
    <row r="7">
      <c r="A7" t="inlineStr">
        <is>
          <t>Jun</t>
        </is>
      </c>
      <c r="B7" t="n">
        <v>30360</v>
      </c>
      <c r="C7">
        <f>IF(B7&gt;B6,"↑","↓")</f>
        <v/>
      </c>
    </row>
    <row r="8">
      <c r="A8" t="inlineStr">
        <is>
          <t>Jul</t>
        </is>
      </c>
      <c r="B8" t="n">
        <v>73048</v>
      </c>
      <c r="C8">
        <f>IF(B8&gt;B7,"↑","↓")</f>
        <v/>
      </c>
    </row>
    <row r="9">
      <c r="A9" t="inlineStr">
        <is>
          <t>Aug</t>
        </is>
      </c>
      <c r="B9" t="n">
        <v>21324</v>
      </c>
      <c r="C9">
        <f>IF(B9&gt;B8,"↑","↓")</f>
        <v/>
      </c>
    </row>
    <row r="10">
      <c r="A10" t="inlineStr">
        <is>
          <t>Sep</t>
        </is>
      </c>
      <c r="B10" t="n">
        <v>67011</v>
      </c>
      <c r="C10">
        <f>IF(B10&gt;B9,"↑","↓")</f>
        <v/>
      </c>
    </row>
    <row r="11">
      <c r="A11" t="inlineStr">
        <is>
          <t>Oct</t>
        </is>
      </c>
      <c r="B11" t="n">
        <v>41027</v>
      </c>
      <c r="C11">
        <f>IF(B11&gt;B10,"↑","↓")</f>
        <v/>
      </c>
    </row>
    <row r="12">
      <c r="A12" t="inlineStr">
        <is>
          <t>Nov</t>
        </is>
      </c>
      <c r="B12" t="n">
        <v>65914</v>
      </c>
      <c r="C12">
        <f>IF(B12&gt;B11,"↑","↓")</f>
        <v/>
      </c>
    </row>
    <row r="13">
      <c r="A13" t="inlineStr">
        <is>
          <t>Dec</t>
        </is>
      </c>
      <c r="B13" t="n">
        <v>51274</v>
      </c>
      <c r="C13">
        <f>IF(B13&gt;B12,"↑","↓")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Electronics</t>
        </is>
      </c>
      <c r="C1" s="1" t="inlineStr">
        <is>
          <t>Furniture</t>
        </is>
      </c>
      <c r="D1" s="1" t="inlineStr">
        <is>
          <t>Appliances</t>
        </is>
      </c>
    </row>
    <row r="2">
      <c r="A2" t="inlineStr">
        <is>
          <t>North</t>
        </is>
      </c>
      <c r="B2">
        <f>SUMIFS(SalesData!D:D,SalesData!B:B,"North",SalesData!C:C,"Electronics")</f>
        <v/>
      </c>
      <c r="C2">
        <f>SUMIFS(SalesData!D:D,SalesData!B:B,"North",SalesData!C:C,"Furniture")</f>
        <v/>
      </c>
      <c r="D2">
        <f>SUMIFS(SalesData!D:D,SalesData!B:B,"North",SalesData!C:C,"Appliances")</f>
        <v/>
      </c>
    </row>
    <row r="3">
      <c r="A3" t="inlineStr">
        <is>
          <t>South</t>
        </is>
      </c>
      <c r="B3">
        <f>SUMIFS(SalesData!D:D,SalesData!B:B,"South",SalesData!C:C,"Electronics")</f>
        <v/>
      </c>
      <c r="C3">
        <f>SUMIFS(SalesData!D:D,SalesData!B:B,"South",SalesData!C:C,"Furniture")</f>
        <v/>
      </c>
      <c r="D3">
        <f>SUMIFS(SalesData!D:D,SalesData!B:B,"South",SalesData!C:C,"Appliances")</f>
        <v/>
      </c>
    </row>
    <row r="4">
      <c r="A4" t="inlineStr">
        <is>
          <t>East</t>
        </is>
      </c>
      <c r="B4">
        <f>SUMIFS(SalesData!D:D,SalesData!B:B,"East",SalesData!C:C,"Electronics")</f>
        <v/>
      </c>
      <c r="C4">
        <f>SUMIFS(SalesData!D:D,SalesData!B:B,"East",SalesData!C:C,"Furniture")</f>
        <v/>
      </c>
      <c r="D4">
        <f>SUMIFS(SalesData!D:D,SalesData!B:B,"East",SalesData!C:C,"Appliances")</f>
        <v/>
      </c>
    </row>
    <row r="5">
      <c r="A5" t="inlineStr">
        <is>
          <t>West</t>
        </is>
      </c>
      <c r="B5">
        <f>SUMIFS(SalesData!D:D,SalesData!B:B,"West",SalesData!C:C,"Electronics")</f>
        <v/>
      </c>
      <c r="C5">
        <f>SUMIFS(SalesData!D:D,SalesData!B:B,"West",SalesData!C:C,"Furniture")</f>
        <v/>
      </c>
      <c r="D5">
        <f>SUMIFS(SalesData!D:D,SalesData!B:B,"West",SalesData!C:C,"Appliances")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2026-02-05T17:30:42Z</dcterms:created>
  <dcterms:modified xmlns:dcterms="http://purl.org/dc/terms/" xmlns:xsi="http://www.w3.org/2001/XMLSchema-instance" xsi:type="dcterms:W3CDTF">2026-02-05T17:30:42Z</dcterms:modified>
</cp:coreProperties>
</file>